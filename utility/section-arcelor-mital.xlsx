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135" documentId="11_6965C6B198465F6E0AE9FF76D498541DDFA5EA80" xr6:coauthVersionLast="47" xr6:coauthVersionMax="47" xr10:uidLastSave="{BF8D63BC-05FA-4FE1-9DDB-79B030380AFD}"/>
  <bookViews>
    <workbookView xWindow="-98" yWindow="-98" windowWidth="24196" windowHeight="14476" tabRatio="601" firstSheet="13" activeTab="17" xr2:uid="{00000000-000D-0000-FFFF-FFFF00000000}"/>
  </bookViews>
  <sheets>
    <sheet name="IPE" sheetId="1" r:id="rId1"/>
    <sheet name="HE" sheetId="3" r:id="rId2"/>
    <sheet name="IPN" sheetId="2" r:id="rId3"/>
    <sheet name="HL" sheetId="4" r:id="rId4"/>
    <sheet name="HP" sheetId="6" r:id="rId5"/>
    <sheet name="UPE" sheetId="7" r:id="rId6"/>
    <sheet name="UPN" sheetId="8" r:id="rId7"/>
    <sheet name="HD" sheetId="5" r:id="rId8"/>
    <sheet name="U" sheetId="9" r:id="rId9"/>
    <sheet name="Cornières ailes égales" sheetId="10" r:id="rId10"/>
    <sheet name="Cornières ailes inégales" sheetId="11" r:id="rId11"/>
    <sheet name="Fers plats + Larges plats" sheetId="12" r:id="rId12"/>
    <sheet name="Carrés" sheetId="14" r:id="rId13"/>
    <sheet name="Ronds laminés à chaud" sheetId="13" r:id="rId14"/>
    <sheet name="T en acier à ailes égales" sheetId="15" r:id="rId15"/>
    <sheet name="ACB" sheetId="16" r:id="rId16"/>
    <sheet name="Tube creux carré_rectangle" sheetId="17" r:id="rId17"/>
    <sheet name="Tube creux rond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1" i="17" l="1"/>
  <c r="A202" i="17"/>
  <c r="A203" i="17"/>
  <c r="A199" i="17"/>
  <c r="A200" i="17"/>
  <c r="A197" i="17"/>
  <c r="A198" i="17"/>
  <c r="A194" i="17"/>
  <c r="A195" i="17"/>
  <c r="A196" i="17"/>
  <c r="A191" i="17"/>
  <c r="A192" i="17"/>
  <c r="A193" i="17"/>
  <c r="A190" i="17"/>
  <c r="A183" i="17"/>
  <c r="A184" i="17"/>
  <c r="A185" i="17"/>
  <c r="A186" i="17"/>
  <c r="A187" i="17"/>
  <c r="A188" i="17"/>
  <c r="A189" i="17"/>
  <c r="A178" i="17"/>
  <c r="A179" i="17"/>
  <c r="A180" i="17"/>
  <c r="A181" i="17"/>
  <c r="A182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J85" i="17"/>
  <c r="A91" i="17"/>
  <c r="A92" i="17"/>
  <c r="A93" i="17"/>
  <c r="A94" i="17"/>
  <c r="A95" i="17"/>
  <c r="A96" i="17"/>
  <c r="A86" i="17"/>
  <c r="A87" i="17"/>
  <c r="A88" i="17"/>
  <c r="A89" i="17"/>
  <c r="A90" i="17"/>
  <c r="A85" i="17"/>
  <c r="M84" i="17"/>
  <c r="L84" i="17"/>
  <c r="K84" i="17"/>
  <c r="J84" i="17"/>
  <c r="N84" i="17" s="1"/>
  <c r="A84" i="17"/>
  <c r="M83" i="17"/>
  <c r="L83" i="17"/>
  <c r="K83" i="17"/>
  <c r="J83" i="17"/>
  <c r="N83" i="17" s="1"/>
  <c r="A83" i="17"/>
  <c r="M82" i="17"/>
  <c r="L82" i="17"/>
  <c r="K82" i="17"/>
  <c r="J82" i="17"/>
  <c r="N82" i="17" s="1"/>
  <c r="A82" i="17"/>
  <c r="M81" i="17"/>
  <c r="L81" i="17"/>
  <c r="K81" i="17"/>
  <c r="J81" i="17"/>
  <c r="N81" i="17" s="1"/>
  <c r="A81" i="17"/>
  <c r="M80" i="17"/>
  <c r="L80" i="17"/>
  <c r="K80" i="17"/>
  <c r="J80" i="17"/>
  <c r="N80" i="17" s="1"/>
  <c r="A80" i="17"/>
  <c r="M79" i="17"/>
  <c r="L79" i="17"/>
  <c r="K79" i="17"/>
  <c r="J79" i="17"/>
  <c r="N79" i="17" s="1"/>
  <c r="A79" i="17"/>
  <c r="M78" i="17"/>
  <c r="L78" i="17"/>
  <c r="K78" i="17"/>
  <c r="J78" i="17"/>
  <c r="N78" i="17" s="1"/>
  <c r="A78" i="17"/>
  <c r="M77" i="17"/>
  <c r="L77" i="17"/>
  <c r="K77" i="17"/>
  <c r="J77" i="17"/>
  <c r="N77" i="17" s="1"/>
  <c r="A77" i="17"/>
  <c r="M76" i="17"/>
  <c r="L76" i="17"/>
  <c r="K76" i="17"/>
  <c r="J76" i="17"/>
  <c r="N76" i="17" s="1"/>
  <c r="A76" i="17"/>
  <c r="M75" i="17"/>
  <c r="L75" i="17"/>
  <c r="K75" i="17"/>
  <c r="J75" i="17"/>
  <c r="N75" i="17" s="1"/>
  <c r="A75" i="17"/>
  <c r="M74" i="17"/>
  <c r="L74" i="17"/>
  <c r="K74" i="17"/>
  <c r="J74" i="17"/>
  <c r="N74" i="17" s="1"/>
  <c r="A74" i="17"/>
  <c r="M73" i="17"/>
  <c r="L73" i="17"/>
  <c r="K73" i="17"/>
  <c r="J73" i="17"/>
  <c r="N73" i="17" s="1"/>
  <c r="A73" i="17"/>
  <c r="M72" i="17"/>
  <c r="L72" i="17"/>
  <c r="K72" i="17"/>
  <c r="J72" i="17"/>
  <c r="N72" i="17" s="1"/>
  <c r="A72" i="17"/>
  <c r="M71" i="17"/>
  <c r="L71" i="17"/>
  <c r="K71" i="17"/>
  <c r="J71" i="17"/>
  <c r="N71" i="17" s="1"/>
  <c r="A71" i="17"/>
  <c r="M70" i="17"/>
  <c r="L70" i="17"/>
  <c r="K70" i="17"/>
  <c r="J70" i="17"/>
  <c r="N70" i="17" s="1"/>
  <c r="A70" i="17"/>
  <c r="M69" i="17"/>
  <c r="L69" i="17"/>
  <c r="K69" i="17"/>
  <c r="J69" i="17"/>
  <c r="N69" i="17" s="1"/>
  <c r="A69" i="17"/>
  <c r="M68" i="17"/>
  <c r="L68" i="17"/>
  <c r="K68" i="17"/>
  <c r="J68" i="17"/>
  <c r="N68" i="17" s="1"/>
  <c r="A68" i="17"/>
  <c r="M67" i="17"/>
  <c r="L67" i="17"/>
  <c r="K67" i="17"/>
  <c r="J67" i="17"/>
  <c r="N67" i="17" s="1"/>
  <c r="A67" i="17"/>
  <c r="M66" i="17"/>
  <c r="L66" i="17"/>
  <c r="K66" i="17"/>
  <c r="J66" i="17"/>
  <c r="N66" i="17" s="1"/>
  <c r="A66" i="17"/>
  <c r="M65" i="17"/>
  <c r="L65" i="17"/>
  <c r="K65" i="17"/>
  <c r="J65" i="17"/>
  <c r="N65" i="17" s="1"/>
  <c r="A65" i="17"/>
  <c r="M64" i="17"/>
  <c r="L64" i="17"/>
  <c r="K64" i="17"/>
  <c r="J64" i="17"/>
  <c r="N64" i="17" s="1"/>
  <c r="A64" i="17"/>
  <c r="M63" i="17"/>
  <c r="L63" i="17"/>
  <c r="K63" i="17"/>
  <c r="J63" i="17"/>
  <c r="N63" i="17" s="1"/>
  <c r="A63" i="17"/>
  <c r="M62" i="17"/>
  <c r="L62" i="17"/>
  <c r="K62" i="17"/>
  <c r="J62" i="17"/>
  <c r="N62" i="17" s="1"/>
  <c r="A62" i="17"/>
  <c r="M61" i="17"/>
  <c r="L61" i="17"/>
  <c r="K61" i="17"/>
  <c r="J61" i="17"/>
  <c r="N61" i="17" s="1"/>
  <c r="A61" i="17"/>
  <c r="M60" i="17"/>
  <c r="L60" i="17"/>
  <c r="K60" i="17"/>
  <c r="J60" i="17"/>
  <c r="N60" i="17" s="1"/>
  <c r="A60" i="17"/>
  <c r="M59" i="17"/>
  <c r="L59" i="17"/>
  <c r="K59" i="17"/>
  <c r="J59" i="17"/>
  <c r="N59" i="17" s="1"/>
  <c r="A59" i="17"/>
  <c r="M58" i="17"/>
  <c r="L58" i="17"/>
  <c r="K58" i="17"/>
  <c r="J58" i="17"/>
  <c r="N58" i="17" s="1"/>
  <c r="A58" i="17"/>
  <c r="M57" i="17"/>
  <c r="L57" i="17"/>
  <c r="K57" i="17"/>
  <c r="J57" i="17"/>
  <c r="N57" i="17" s="1"/>
  <c r="A57" i="17"/>
  <c r="M56" i="17"/>
  <c r="L56" i="17"/>
  <c r="K56" i="17"/>
  <c r="J56" i="17"/>
  <c r="N56" i="17" s="1"/>
  <c r="A56" i="17"/>
  <c r="M55" i="17"/>
  <c r="L55" i="17"/>
  <c r="K55" i="17"/>
  <c r="J55" i="17"/>
  <c r="N55" i="17" s="1"/>
  <c r="A55" i="17"/>
  <c r="M54" i="17"/>
  <c r="L54" i="17"/>
  <c r="K54" i="17"/>
  <c r="J54" i="17"/>
  <c r="N54" i="17" s="1"/>
  <c r="A54" i="17"/>
  <c r="M53" i="17"/>
  <c r="L53" i="17"/>
  <c r="K53" i="17"/>
  <c r="J53" i="17"/>
  <c r="N53" i="17" s="1"/>
  <c r="A53" i="17"/>
  <c r="M52" i="17"/>
  <c r="L52" i="17"/>
  <c r="K52" i="17"/>
  <c r="J52" i="17"/>
  <c r="N52" i="17" s="1"/>
  <c r="A52" i="17"/>
  <c r="M51" i="17"/>
  <c r="L51" i="17"/>
  <c r="K51" i="17"/>
  <c r="J51" i="17"/>
  <c r="N51" i="17" s="1"/>
  <c r="A51" i="17"/>
  <c r="M50" i="17"/>
  <c r="L50" i="17"/>
  <c r="K50" i="17"/>
  <c r="J50" i="17"/>
  <c r="N50" i="17" s="1"/>
  <c r="A50" i="17"/>
  <c r="M49" i="17"/>
  <c r="L49" i="17"/>
  <c r="K49" i="17"/>
  <c r="J49" i="17"/>
  <c r="N49" i="17" s="1"/>
  <c r="A49" i="17"/>
  <c r="M48" i="17"/>
  <c r="L48" i="17"/>
  <c r="K48" i="17"/>
  <c r="J48" i="17"/>
  <c r="N48" i="17" s="1"/>
  <c r="A48" i="17"/>
  <c r="M47" i="17"/>
  <c r="L47" i="17"/>
  <c r="K47" i="17"/>
  <c r="J47" i="17"/>
  <c r="N47" i="17" s="1"/>
  <c r="A47" i="17"/>
  <c r="M46" i="17"/>
  <c r="L46" i="17"/>
  <c r="K46" i="17"/>
  <c r="J46" i="17"/>
  <c r="N46" i="17" s="1"/>
  <c r="A46" i="17"/>
  <c r="M45" i="17"/>
  <c r="L45" i="17"/>
  <c r="K45" i="17"/>
  <c r="J45" i="17"/>
  <c r="N45" i="17" s="1"/>
  <c r="A45" i="17"/>
  <c r="M44" i="17"/>
  <c r="L44" i="17"/>
  <c r="K44" i="17"/>
  <c r="J44" i="17"/>
  <c r="N44" i="17" s="1"/>
  <c r="A44" i="17"/>
  <c r="M43" i="17"/>
  <c r="L43" i="17"/>
  <c r="K43" i="17"/>
  <c r="J43" i="17"/>
  <c r="N43" i="17" s="1"/>
  <c r="A43" i="17"/>
  <c r="M42" i="17"/>
  <c r="L42" i="17"/>
  <c r="K42" i="17"/>
  <c r="J42" i="17"/>
  <c r="N42" i="17" s="1"/>
  <c r="A42" i="17"/>
  <c r="M41" i="17"/>
  <c r="L41" i="17"/>
  <c r="K41" i="17"/>
  <c r="J41" i="17"/>
  <c r="N41" i="17" s="1"/>
  <c r="A41" i="17"/>
  <c r="M40" i="17"/>
  <c r="L40" i="17"/>
  <c r="K40" i="17"/>
  <c r="J40" i="17"/>
  <c r="N40" i="17" s="1"/>
  <c r="A40" i="17"/>
  <c r="M39" i="17"/>
  <c r="L39" i="17"/>
  <c r="K39" i="17"/>
  <c r="J39" i="17"/>
  <c r="N39" i="17" s="1"/>
  <c r="A39" i="17"/>
  <c r="M38" i="17"/>
  <c r="L38" i="17"/>
  <c r="K38" i="17"/>
  <c r="J38" i="17"/>
  <c r="N38" i="17" s="1"/>
  <c r="A38" i="17"/>
  <c r="M37" i="17"/>
  <c r="L37" i="17"/>
  <c r="K37" i="17"/>
  <c r="J37" i="17"/>
  <c r="N37" i="17" s="1"/>
  <c r="A37" i="17"/>
  <c r="M36" i="17"/>
  <c r="L36" i="17"/>
  <c r="K36" i="17"/>
  <c r="J36" i="17"/>
  <c r="N36" i="17" s="1"/>
  <c r="A36" i="17"/>
  <c r="M35" i="17"/>
  <c r="L35" i="17"/>
  <c r="K35" i="17"/>
  <c r="J35" i="17"/>
  <c r="N35" i="17" s="1"/>
  <c r="A35" i="17"/>
  <c r="M34" i="17"/>
  <c r="L34" i="17"/>
  <c r="K34" i="17"/>
  <c r="J34" i="17"/>
  <c r="N34" i="17" s="1"/>
  <c r="A34" i="17"/>
  <c r="M33" i="17"/>
  <c r="L33" i="17"/>
  <c r="K33" i="17"/>
  <c r="J33" i="17"/>
  <c r="N33" i="17" s="1"/>
  <c r="A33" i="17"/>
  <c r="M32" i="17"/>
  <c r="L32" i="17"/>
  <c r="K32" i="17"/>
  <c r="J32" i="17"/>
  <c r="N32" i="17" s="1"/>
  <c r="A32" i="17"/>
  <c r="M31" i="17"/>
  <c r="L31" i="17"/>
  <c r="K31" i="17"/>
  <c r="J31" i="17"/>
  <c r="N31" i="17" s="1"/>
  <c r="A31" i="17"/>
  <c r="M30" i="17"/>
  <c r="L30" i="17"/>
  <c r="K30" i="17"/>
  <c r="J30" i="17"/>
  <c r="N30" i="17" s="1"/>
  <c r="D30" i="17"/>
  <c r="A30" i="17" s="1"/>
  <c r="M29" i="17"/>
  <c r="L29" i="17"/>
  <c r="K29" i="17"/>
  <c r="J29" i="17"/>
  <c r="N29" i="17" s="1"/>
  <c r="D29" i="17"/>
  <c r="A29" i="17" s="1"/>
  <c r="M28" i="17"/>
  <c r="L28" i="17"/>
  <c r="K28" i="17"/>
  <c r="J28" i="17"/>
  <c r="N28" i="17"/>
  <c r="D28" i="17"/>
  <c r="A28" i="17" s="1"/>
  <c r="M27" i="17"/>
  <c r="L27" i="17"/>
  <c r="K27" i="17"/>
  <c r="J27" i="17"/>
  <c r="N27" i="17"/>
  <c r="D27" i="17"/>
  <c r="A27" i="17"/>
  <c r="M26" i="17"/>
  <c r="L26" i="17"/>
  <c r="K26" i="17"/>
  <c r="J26" i="17"/>
  <c r="N26" i="17" s="1"/>
  <c r="D26" i="17"/>
  <c r="A26" i="17"/>
  <c r="M25" i="17"/>
  <c r="L25" i="17"/>
  <c r="K25" i="17"/>
  <c r="J25" i="17"/>
  <c r="N25" i="17" s="1"/>
  <c r="D25" i="17"/>
  <c r="A25" i="17"/>
  <c r="M24" i="17"/>
  <c r="L24" i="17"/>
  <c r="K24" i="17"/>
  <c r="J24" i="17"/>
  <c r="N24" i="17"/>
  <c r="D24" i="17"/>
  <c r="A24" i="17" s="1"/>
  <c r="M23" i="17"/>
  <c r="L23" i="17"/>
  <c r="K23" i="17"/>
  <c r="J23" i="17"/>
  <c r="N23" i="17" s="1"/>
  <c r="D23" i="17"/>
  <c r="A23" i="17"/>
  <c r="M22" i="17"/>
  <c r="L22" i="17"/>
  <c r="K22" i="17"/>
  <c r="J22" i="17"/>
  <c r="N22" i="17" s="1"/>
  <c r="D22" i="17"/>
  <c r="A22" i="17" s="1"/>
  <c r="M21" i="17"/>
  <c r="L21" i="17"/>
  <c r="K21" i="17"/>
  <c r="J21" i="17"/>
  <c r="N21" i="17"/>
  <c r="D21" i="17"/>
  <c r="A21" i="17"/>
  <c r="M20" i="17"/>
  <c r="L20" i="17"/>
  <c r="K20" i="17"/>
  <c r="J20" i="17"/>
  <c r="N20" i="17" s="1"/>
  <c r="D20" i="17"/>
  <c r="A20" i="17" s="1"/>
  <c r="M19" i="17"/>
  <c r="L19" i="17"/>
  <c r="K19" i="17"/>
  <c r="J19" i="17"/>
  <c r="N19" i="17" s="1"/>
  <c r="D19" i="17"/>
  <c r="A19" i="17"/>
  <c r="M18" i="17"/>
  <c r="L18" i="17"/>
  <c r="K18" i="17"/>
  <c r="J18" i="17"/>
  <c r="N18" i="17" s="1"/>
  <c r="D18" i="17"/>
  <c r="A18" i="17"/>
  <c r="M17" i="17"/>
  <c r="L17" i="17"/>
  <c r="K17" i="17"/>
  <c r="J17" i="17"/>
  <c r="N17" i="17"/>
  <c r="D17" i="17"/>
  <c r="A17" i="17" s="1"/>
  <c r="M16" i="17"/>
  <c r="L16" i="17"/>
  <c r="K16" i="17"/>
  <c r="J16" i="17"/>
  <c r="N16" i="17" s="1"/>
  <c r="D16" i="17"/>
  <c r="A16" i="17" s="1"/>
  <c r="M15" i="17"/>
  <c r="L15" i="17"/>
  <c r="K15" i="17"/>
  <c r="J15" i="17"/>
  <c r="N15" i="17" s="1"/>
  <c r="D15" i="17"/>
  <c r="A15" i="17" s="1"/>
  <c r="M14" i="17"/>
  <c r="L14" i="17"/>
  <c r="K14" i="17"/>
  <c r="J14" i="17"/>
  <c r="N14" i="17" s="1"/>
  <c r="D14" i="17"/>
  <c r="A14" i="17"/>
  <c r="M13" i="17"/>
  <c r="L13" i="17"/>
  <c r="K13" i="17"/>
  <c r="J13" i="17"/>
  <c r="N13" i="17"/>
  <c r="D13" i="17"/>
  <c r="A13" i="17" s="1"/>
  <c r="M12" i="17"/>
  <c r="L12" i="17"/>
  <c r="K12" i="17"/>
  <c r="J12" i="17"/>
  <c r="N12" i="17" s="1"/>
  <c r="D12" i="17"/>
  <c r="A12" i="17" s="1"/>
  <c r="M11" i="17"/>
  <c r="L11" i="17"/>
  <c r="K11" i="17"/>
  <c r="J11" i="17"/>
  <c r="N11" i="17"/>
  <c r="D11" i="17"/>
  <c r="A11" i="17"/>
  <c r="M10" i="17"/>
  <c r="L10" i="17"/>
  <c r="K10" i="17"/>
  <c r="J10" i="17"/>
  <c r="N10" i="17" s="1"/>
  <c r="D10" i="17"/>
  <c r="A10" i="17" s="1"/>
  <c r="M9" i="17"/>
  <c r="L9" i="17"/>
  <c r="K9" i="17"/>
  <c r="J9" i="17"/>
  <c r="N9" i="17"/>
  <c r="D9" i="17"/>
  <c r="A9" i="17" s="1"/>
  <c r="M8" i="17"/>
  <c r="L8" i="17"/>
  <c r="K8" i="17"/>
  <c r="J8" i="17"/>
  <c r="N8" i="17" s="1"/>
  <c r="D8" i="17"/>
  <c r="A8" i="17" s="1"/>
  <c r="M7" i="17"/>
  <c r="L7" i="17"/>
  <c r="K7" i="17"/>
  <c r="J7" i="17"/>
  <c r="N7" i="17" s="1"/>
  <c r="A7" i="17"/>
  <c r="M6" i="17"/>
  <c r="L6" i="17"/>
  <c r="K6" i="17"/>
  <c r="J6" i="17"/>
  <c r="N6" i="17" s="1"/>
  <c r="A6" i="17"/>
  <c r="M5" i="17"/>
  <c r="L5" i="17"/>
  <c r="K5" i="17"/>
  <c r="J5" i="17"/>
  <c r="N5" i="17" s="1"/>
  <c r="A5" i="17"/>
  <c r="M4" i="17"/>
  <c r="L4" i="17"/>
  <c r="K4" i="17"/>
  <c r="J4" i="17"/>
  <c r="N4" i="17"/>
  <c r="A4" i="17"/>
  <c r="M3" i="17"/>
  <c r="L3" i="17"/>
  <c r="K3" i="17"/>
  <c r="J3" i="17"/>
  <c r="N3" i="17" s="1"/>
  <c r="A3" i="17"/>
  <c r="L83" i="18"/>
  <c r="K83" i="18"/>
  <c r="J83" i="18"/>
  <c r="I83" i="18"/>
  <c r="M83" i="18" s="1"/>
  <c r="A83" i="18"/>
  <c r="L82" i="18"/>
  <c r="K82" i="18"/>
  <c r="J82" i="18"/>
  <c r="I82" i="18"/>
  <c r="M82" i="18" s="1"/>
  <c r="A82" i="18"/>
  <c r="L81" i="18"/>
  <c r="K81" i="18"/>
  <c r="J81" i="18"/>
  <c r="I81" i="18"/>
  <c r="M81" i="18" s="1"/>
  <c r="A81" i="18"/>
  <c r="L80" i="18"/>
  <c r="K80" i="18"/>
  <c r="J80" i="18"/>
  <c r="I80" i="18"/>
  <c r="M80" i="18"/>
  <c r="A80" i="18"/>
  <c r="I79" i="18"/>
  <c r="M79" i="18" s="1"/>
  <c r="L79" i="18"/>
  <c r="K79" i="18"/>
  <c r="J79" i="18"/>
  <c r="A79" i="18"/>
  <c r="L78" i="18"/>
  <c r="K78" i="18"/>
  <c r="J78" i="18"/>
  <c r="I78" i="18"/>
  <c r="M78" i="18" s="1"/>
  <c r="A78" i="18"/>
  <c r="L77" i="18"/>
  <c r="K77" i="18"/>
  <c r="J77" i="18"/>
  <c r="I77" i="18"/>
  <c r="M77" i="18"/>
  <c r="A77" i="18"/>
  <c r="I76" i="18"/>
  <c r="M76" i="18"/>
  <c r="L76" i="18"/>
  <c r="K76" i="18"/>
  <c r="J76" i="18"/>
  <c r="A76" i="18"/>
  <c r="L75" i="18"/>
  <c r="K75" i="18"/>
  <c r="J75" i="18"/>
  <c r="I75" i="18"/>
  <c r="M75" i="18" s="1"/>
  <c r="A75" i="18"/>
  <c r="L74" i="18"/>
  <c r="K74" i="18"/>
  <c r="J74" i="18"/>
  <c r="I74" i="18"/>
  <c r="M74" i="18" s="1"/>
  <c r="A74" i="18"/>
  <c r="L73" i="18"/>
  <c r="K73" i="18"/>
  <c r="J73" i="18"/>
  <c r="I73" i="18"/>
  <c r="M73" i="18"/>
  <c r="A73" i="18"/>
  <c r="L72" i="18"/>
  <c r="K72" i="18"/>
  <c r="J72" i="18"/>
  <c r="I72" i="18"/>
  <c r="M72" i="18"/>
  <c r="A72" i="18"/>
  <c r="L71" i="18"/>
  <c r="K71" i="18"/>
  <c r="J71" i="18"/>
  <c r="I71" i="18"/>
  <c r="M71" i="18"/>
  <c r="A71" i="18"/>
  <c r="L70" i="18"/>
  <c r="K70" i="18"/>
  <c r="J70" i="18"/>
  <c r="I70" i="18"/>
  <c r="M70" i="18"/>
  <c r="A70" i="18"/>
  <c r="L69" i="18"/>
  <c r="K69" i="18"/>
  <c r="J69" i="18"/>
  <c r="I69" i="18"/>
  <c r="M69" i="18"/>
  <c r="A69" i="18"/>
  <c r="L68" i="18"/>
  <c r="K68" i="18"/>
  <c r="J68" i="18"/>
  <c r="I68" i="18"/>
  <c r="M68" i="18" s="1"/>
  <c r="A68" i="18"/>
  <c r="L67" i="18"/>
  <c r="K67" i="18"/>
  <c r="J67" i="18"/>
  <c r="I67" i="18"/>
  <c r="M67" i="18"/>
  <c r="A67" i="18"/>
  <c r="L66" i="18"/>
  <c r="K66" i="18"/>
  <c r="J66" i="18"/>
  <c r="I66" i="18"/>
  <c r="M66" i="18"/>
  <c r="A66" i="18"/>
  <c r="L65" i="18"/>
  <c r="K65" i="18"/>
  <c r="J65" i="18"/>
  <c r="I65" i="18"/>
  <c r="M65" i="18"/>
  <c r="A65" i="18"/>
  <c r="L64" i="18"/>
  <c r="K64" i="18"/>
  <c r="J64" i="18"/>
  <c r="I64" i="18"/>
  <c r="M64" i="18" s="1"/>
  <c r="A64" i="18"/>
  <c r="L63" i="18"/>
  <c r="K63" i="18"/>
  <c r="J63" i="18"/>
  <c r="I63" i="18"/>
  <c r="M63" i="18"/>
  <c r="A63" i="18"/>
  <c r="L62" i="18"/>
  <c r="K62" i="18"/>
  <c r="J62" i="18"/>
  <c r="I62" i="18"/>
  <c r="M62" i="18"/>
  <c r="A62" i="18"/>
  <c r="L61" i="18"/>
  <c r="K61" i="18"/>
  <c r="J61" i="18"/>
  <c r="I61" i="18"/>
  <c r="M61" i="18" s="1"/>
  <c r="A61" i="18"/>
  <c r="L60" i="18"/>
  <c r="K60" i="18"/>
  <c r="J60" i="18"/>
  <c r="I60" i="18"/>
  <c r="M60" i="18"/>
  <c r="A60" i="18"/>
  <c r="L59" i="18"/>
  <c r="K59" i="18"/>
  <c r="J59" i="18"/>
  <c r="I59" i="18"/>
  <c r="M59" i="18"/>
  <c r="A59" i="18"/>
  <c r="L58" i="18"/>
  <c r="K58" i="18"/>
  <c r="J58" i="18"/>
  <c r="I58" i="18"/>
  <c r="M58" i="18" s="1"/>
  <c r="A58" i="18"/>
  <c r="L57" i="18"/>
  <c r="K57" i="18"/>
  <c r="J57" i="18"/>
  <c r="I57" i="18"/>
  <c r="M57" i="18" s="1"/>
  <c r="A57" i="18"/>
  <c r="L56" i="18"/>
  <c r="K56" i="18"/>
  <c r="J56" i="18"/>
  <c r="I56" i="18"/>
  <c r="M56" i="18" s="1"/>
  <c r="A56" i="18"/>
  <c r="L55" i="18"/>
  <c r="K55" i="18"/>
  <c r="J55" i="18"/>
  <c r="I55" i="18"/>
  <c r="M55" i="18"/>
  <c r="A55" i="18"/>
  <c r="L54" i="18"/>
  <c r="K54" i="18"/>
  <c r="J54" i="18"/>
  <c r="I54" i="18"/>
  <c r="M54" i="18" s="1"/>
  <c r="A54" i="18"/>
  <c r="L53" i="18"/>
  <c r="K53" i="18"/>
  <c r="J53" i="18"/>
  <c r="I53" i="18"/>
  <c r="M53" i="18"/>
  <c r="A53" i="18"/>
  <c r="L52" i="18"/>
  <c r="K52" i="18"/>
  <c r="J52" i="18"/>
  <c r="I52" i="18"/>
  <c r="M52" i="18"/>
  <c r="A52" i="18"/>
  <c r="L51" i="18"/>
  <c r="K51" i="18"/>
  <c r="J51" i="18"/>
  <c r="I51" i="18"/>
  <c r="M51" i="18"/>
  <c r="A51" i="18"/>
  <c r="L50" i="18"/>
  <c r="K50" i="18"/>
  <c r="J50" i="18"/>
  <c r="I50" i="18"/>
  <c r="M50" i="18" s="1"/>
  <c r="A50" i="18"/>
  <c r="L49" i="18"/>
  <c r="K49" i="18"/>
  <c r="J49" i="18"/>
  <c r="I49" i="18"/>
  <c r="M49" i="18"/>
  <c r="A49" i="18"/>
  <c r="L48" i="18"/>
  <c r="K48" i="18"/>
  <c r="J48" i="18"/>
  <c r="I48" i="18"/>
  <c r="M48" i="18" s="1"/>
  <c r="A48" i="18"/>
  <c r="L47" i="18"/>
  <c r="K47" i="18"/>
  <c r="J47" i="18"/>
  <c r="I47" i="18"/>
  <c r="M47" i="18"/>
  <c r="A47" i="18"/>
  <c r="L46" i="18"/>
  <c r="K46" i="18"/>
  <c r="J46" i="18"/>
  <c r="I46" i="18"/>
  <c r="M46" i="18"/>
  <c r="A46" i="18"/>
  <c r="L45" i="18"/>
  <c r="K45" i="18"/>
  <c r="J45" i="18"/>
  <c r="I45" i="18"/>
  <c r="M45" i="18" s="1"/>
  <c r="A45" i="18"/>
  <c r="L44" i="18"/>
  <c r="K44" i="18"/>
  <c r="J44" i="18"/>
  <c r="I44" i="18"/>
  <c r="M44" i="18" s="1"/>
  <c r="A44" i="18"/>
  <c r="L43" i="18"/>
  <c r="K43" i="18"/>
  <c r="J43" i="18"/>
  <c r="I43" i="18"/>
  <c r="M43" i="18" s="1"/>
  <c r="A43" i="18"/>
  <c r="L42" i="18"/>
  <c r="K42" i="18"/>
  <c r="J42" i="18"/>
  <c r="I42" i="18"/>
  <c r="M42" i="18"/>
  <c r="A42" i="18"/>
  <c r="L41" i="18"/>
  <c r="K41" i="18"/>
  <c r="J41" i="18"/>
  <c r="I41" i="18"/>
  <c r="M41" i="18"/>
  <c r="A41" i="18"/>
  <c r="L40" i="18"/>
  <c r="K40" i="18"/>
  <c r="J40" i="18"/>
  <c r="I40" i="18"/>
  <c r="M40" i="18"/>
  <c r="A40" i="18"/>
  <c r="L39" i="18"/>
  <c r="K39" i="18"/>
  <c r="J39" i="18"/>
  <c r="I39" i="18"/>
  <c r="M39" i="18" s="1"/>
  <c r="A39" i="18"/>
  <c r="L38" i="18"/>
  <c r="K38" i="18"/>
  <c r="J38" i="18"/>
  <c r="I38" i="18"/>
  <c r="M38" i="18" s="1"/>
  <c r="A38" i="18"/>
  <c r="L37" i="18"/>
  <c r="K37" i="18"/>
  <c r="J37" i="18"/>
  <c r="I37" i="18"/>
  <c r="M37" i="18"/>
  <c r="A37" i="18"/>
  <c r="L36" i="18"/>
  <c r="K36" i="18"/>
  <c r="J36" i="18"/>
  <c r="I36" i="18"/>
  <c r="M36" i="18" s="1"/>
  <c r="A36" i="18"/>
  <c r="L35" i="18"/>
  <c r="K35" i="18"/>
  <c r="J35" i="18"/>
  <c r="I35" i="18"/>
  <c r="M35" i="18"/>
  <c r="A35" i="18"/>
  <c r="L34" i="18"/>
  <c r="K34" i="18"/>
  <c r="J34" i="18"/>
  <c r="I34" i="18"/>
  <c r="M34" i="18" s="1"/>
  <c r="A34" i="18"/>
  <c r="L33" i="18"/>
  <c r="K33" i="18"/>
  <c r="J33" i="18"/>
  <c r="I33" i="18"/>
  <c r="M33" i="18"/>
  <c r="A33" i="18"/>
  <c r="L32" i="18"/>
  <c r="K32" i="18"/>
  <c r="J32" i="18"/>
  <c r="I32" i="18"/>
  <c r="M32" i="18"/>
  <c r="A32" i="18"/>
  <c r="L31" i="18"/>
  <c r="K31" i="18"/>
  <c r="J31" i="18"/>
  <c r="I31" i="18"/>
  <c r="M31" i="18"/>
  <c r="A31" i="18"/>
  <c r="L30" i="18"/>
  <c r="K30" i="18"/>
  <c r="J30" i="18"/>
  <c r="I30" i="18"/>
  <c r="M30" i="18"/>
  <c r="A30" i="18"/>
  <c r="L29" i="18"/>
  <c r="K29" i="18"/>
  <c r="J29" i="18"/>
  <c r="I29" i="18"/>
  <c r="M29" i="18" s="1"/>
  <c r="A29" i="18"/>
  <c r="L28" i="18"/>
  <c r="K28" i="18"/>
  <c r="J28" i="18"/>
  <c r="I28" i="18"/>
  <c r="M28" i="18" s="1"/>
  <c r="A28" i="18"/>
  <c r="L27" i="18"/>
  <c r="K27" i="18"/>
  <c r="J27" i="18"/>
  <c r="I27" i="18"/>
  <c r="M27" i="18"/>
  <c r="A27" i="18"/>
  <c r="L26" i="18"/>
  <c r="K26" i="18"/>
  <c r="J26" i="18"/>
  <c r="I26" i="18"/>
  <c r="M26" i="18" s="1"/>
  <c r="A26" i="18"/>
  <c r="L25" i="18"/>
  <c r="K25" i="18"/>
  <c r="J25" i="18"/>
  <c r="I25" i="18"/>
  <c r="M25" i="18" s="1"/>
  <c r="A25" i="18"/>
  <c r="L24" i="18"/>
  <c r="K24" i="18"/>
  <c r="J24" i="18"/>
  <c r="I24" i="18"/>
  <c r="M24" i="18" s="1"/>
  <c r="A24" i="18"/>
  <c r="L23" i="18"/>
  <c r="K23" i="18"/>
  <c r="J23" i="18"/>
  <c r="I23" i="18"/>
  <c r="M23" i="18"/>
  <c r="A23" i="18"/>
  <c r="L22" i="18"/>
  <c r="K22" i="18"/>
  <c r="J22" i="18"/>
  <c r="I22" i="18"/>
  <c r="M22" i="18"/>
  <c r="A22" i="18"/>
  <c r="L21" i="18"/>
  <c r="K21" i="18"/>
  <c r="J21" i="18"/>
  <c r="I21" i="18"/>
  <c r="M21" i="18"/>
  <c r="A21" i="18"/>
  <c r="L20" i="18"/>
  <c r="K20" i="18"/>
  <c r="J20" i="18"/>
  <c r="I20" i="18"/>
  <c r="M20" i="18"/>
  <c r="A20" i="18"/>
  <c r="L19" i="18"/>
  <c r="K19" i="18"/>
  <c r="J19" i="18"/>
  <c r="I19" i="18"/>
  <c r="M19" i="18" s="1"/>
  <c r="A19" i="18"/>
  <c r="L18" i="18"/>
  <c r="K18" i="18"/>
  <c r="J18" i="18"/>
  <c r="I18" i="18"/>
  <c r="M18" i="18" s="1"/>
  <c r="A18" i="18"/>
  <c r="L17" i="18"/>
  <c r="K17" i="18"/>
  <c r="J17" i="18"/>
  <c r="I17" i="18"/>
  <c r="M17" i="18"/>
  <c r="A17" i="18"/>
  <c r="L16" i="18"/>
  <c r="K16" i="18"/>
  <c r="J16" i="18"/>
  <c r="I16" i="18"/>
  <c r="M16" i="18"/>
  <c r="A16" i="18"/>
  <c r="L15" i="18"/>
  <c r="K15" i="18"/>
  <c r="J15" i="18"/>
  <c r="I15" i="18"/>
  <c r="M15" i="18"/>
  <c r="A15" i="18"/>
  <c r="L14" i="18"/>
  <c r="K14" i="18"/>
  <c r="J14" i="18"/>
  <c r="I14" i="18"/>
  <c r="M14" i="18" s="1"/>
  <c r="A14" i="18"/>
  <c r="L13" i="18"/>
  <c r="K13" i="18"/>
  <c r="J13" i="18"/>
  <c r="I13" i="18"/>
  <c r="M13" i="18" s="1"/>
  <c r="A13" i="18"/>
  <c r="L12" i="18"/>
  <c r="K12" i="18"/>
  <c r="J12" i="18"/>
  <c r="I12" i="18"/>
  <c r="M12" i="18" s="1"/>
  <c r="A12" i="18"/>
  <c r="L11" i="18"/>
  <c r="K11" i="18"/>
  <c r="J11" i="18"/>
  <c r="I11" i="18"/>
  <c r="M11" i="18" s="1"/>
  <c r="A11" i="18"/>
  <c r="L10" i="18"/>
  <c r="K10" i="18"/>
  <c r="J10" i="18"/>
  <c r="I10" i="18"/>
  <c r="M10" i="18"/>
  <c r="A10" i="18"/>
  <c r="L9" i="18"/>
  <c r="K9" i="18"/>
  <c r="J9" i="18"/>
  <c r="I9" i="18"/>
  <c r="M9" i="18"/>
  <c r="A9" i="18"/>
  <c r="L8" i="18"/>
  <c r="K8" i="18"/>
  <c r="J8" i="18"/>
  <c r="I8" i="18"/>
  <c r="M8" i="18" s="1"/>
  <c r="A8" i="18"/>
  <c r="L7" i="18"/>
  <c r="K7" i="18"/>
  <c r="J7" i="18"/>
  <c r="I7" i="18"/>
  <c r="M7" i="18" s="1"/>
  <c r="A7" i="18"/>
  <c r="L6" i="18"/>
  <c r="K6" i="18"/>
  <c r="J6" i="18"/>
  <c r="I6" i="18"/>
  <c r="M6" i="18"/>
  <c r="A6" i="18"/>
  <c r="L5" i="18"/>
  <c r="K5" i="18"/>
  <c r="J5" i="18"/>
  <c r="I5" i="18"/>
  <c r="M5" i="18" s="1"/>
  <c r="A5" i="18"/>
  <c r="L4" i="18"/>
  <c r="K4" i="18"/>
  <c r="J4" i="18"/>
  <c r="I4" i="18"/>
  <c r="M4" i="18" s="1"/>
  <c r="A4" i="18"/>
  <c r="L3" i="18"/>
  <c r="K3" i="18"/>
  <c r="J3" i="18"/>
  <c r="I3" i="18"/>
  <c r="M3" i="18"/>
  <c r="A3" i="18"/>
  <c r="J95" i="17"/>
  <c r="J101" i="17"/>
  <c r="J105" i="17"/>
  <c r="J100" i="17"/>
  <c r="J87" i="17"/>
  <c r="J89" i="17"/>
  <c r="J91" i="17"/>
  <c r="J115" i="17"/>
  <c r="J98" i="17"/>
  <c r="J88" i="17"/>
  <c r="J114" i="17"/>
  <c r="J110" i="17"/>
  <c r="J99" i="17"/>
  <c r="J92" i="17"/>
  <c r="J97" i="17"/>
  <c r="J113" i="17"/>
  <c r="J90" i="17"/>
  <c r="J93" i="17"/>
  <c r="J102" i="17"/>
  <c r="J111" i="17"/>
  <c r="J109" i="17"/>
  <c r="J104" i="17"/>
  <c r="J108" i="17"/>
  <c r="J96" i="17"/>
  <c r="J112" i="17"/>
  <c r="J94" i="17"/>
  <c r="J103" i="17"/>
  <c r="J86" i="17"/>
  <c r="J107" i="17"/>
  <c r="J106" i="17"/>
  <c r="N115" i="17"/>
  <c r="N90" i="17"/>
  <c r="N102" i="17"/>
  <c r="N109" i="17"/>
  <c r="N105" i="17"/>
  <c r="N104" i="17"/>
  <c r="N103" i="17"/>
  <c r="N95" i="17"/>
  <c r="N88" i="17"/>
  <c r="N89" i="17"/>
  <c r="N114" i="17"/>
  <c r="N108" i="17"/>
  <c r="N87" i="17"/>
  <c r="N92" i="17"/>
  <c r="N113" i="17"/>
  <c r="N112" i="17"/>
  <c r="N98" i="17"/>
  <c r="N107" i="17"/>
  <c r="N110" i="17"/>
  <c r="N111" i="17"/>
  <c r="N97" i="17"/>
  <c r="N94" i="17"/>
  <c r="N101" i="17"/>
  <c r="N91" i="17"/>
  <c r="N85" i="17"/>
  <c r="N93" i="17"/>
  <c r="N99" i="17"/>
  <c r="N96" i="17"/>
  <c r="N86" i="17"/>
  <c r="N100" i="17"/>
  <c r="N106" i="17"/>
  <c r="J123" i="17"/>
  <c r="N123" i="17" s="1"/>
  <c r="J135" i="17"/>
  <c r="N135" i="17"/>
  <c r="J130" i="17"/>
  <c r="N130" i="17" s="1"/>
  <c r="J133" i="17"/>
  <c r="N133" i="17" s="1"/>
  <c r="J131" i="17"/>
  <c r="N131" i="17"/>
  <c r="J137" i="17"/>
  <c r="N137" i="17" s="1"/>
  <c r="J122" i="17"/>
  <c r="N122" i="17"/>
  <c r="J142" i="17"/>
  <c r="N142" i="17"/>
  <c r="J143" i="17"/>
  <c r="N143" i="17" s="1"/>
  <c r="J128" i="17"/>
  <c r="N128" i="17"/>
  <c r="J117" i="17"/>
  <c r="N117" i="17"/>
  <c r="J139" i="17"/>
  <c r="N139" i="17" s="1"/>
  <c r="J116" i="17"/>
  <c r="N116" i="17"/>
  <c r="J141" i="17"/>
  <c r="N141" i="17" s="1"/>
  <c r="J138" i="17"/>
  <c r="N138" i="17"/>
  <c r="J145" i="17"/>
  <c r="N145" i="17" s="1"/>
  <c r="J127" i="17"/>
  <c r="N127" i="17"/>
  <c r="J119" i="17"/>
  <c r="N119" i="17"/>
  <c r="J118" i="17"/>
  <c r="N118" i="17"/>
  <c r="J136" i="17"/>
  <c r="N136" i="17" s="1"/>
  <c r="J126" i="17"/>
  <c r="N126" i="17"/>
  <c r="J132" i="17"/>
  <c r="N132" i="17"/>
  <c r="J144" i="17"/>
  <c r="N144" i="17" s="1"/>
  <c r="J120" i="17"/>
  <c r="N120" i="17" s="1"/>
  <c r="J129" i="17"/>
  <c r="N129" i="17"/>
  <c r="J140" i="17"/>
  <c r="N140" i="17" s="1"/>
  <c r="J121" i="17"/>
  <c r="N121" i="17"/>
  <c r="J124" i="17"/>
  <c r="N124" i="17" s="1"/>
  <c r="J134" i="17"/>
  <c r="N134" i="17"/>
  <c r="J125" i="17"/>
  <c r="N125" i="17"/>
  <c r="J146" i="17"/>
  <c r="N146" i="17" s="1"/>
  <c r="J160" i="17"/>
  <c r="N160" i="17"/>
  <c r="J157" i="17"/>
  <c r="N157" i="17"/>
  <c r="J177" i="17"/>
  <c r="N177" i="17" s="1"/>
  <c r="J166" i="17"/>
  <c r="N166" i="17" s="1"/>
  <c r="J167" i="17"/>
  <c r="N167" i="17" s="1"/>
  <c r="J176" i="17"/>
  <c r="N176" i="17"/>
  <c r="J163" i="17"/>
  <c r="N163" i="17"/>
  <c r="J159" i="17"/>
  <c r="N159" i="17"/>
  <c r="J162" i="17"/>
  <c r="N162" i="17" s="1"/>
  <c r="J174" i="17"/>
  <c r="N174" i="17"/>
  <c r="J169" i="17"/>
  <c r="N169" i="17" s="1"/>
  <c r="J161" i="17"/>
  <c r="N161" i="17"/>
  <c r="J147" i="17"/>
  <c r="N147" i="17" s="1"/>
  <c r="J171" i="17"/>
  <c r="N171" i="17"/>
  <c r="J172" i="17"/>
  <c r="N172" i="17" s="1"/>
  <c r="J154" i="17"/>
  <c r="N154" i="17"/>
  <c r="J158" i="17"/>
  <c r="N158" i="17"/>
  <c r="J152" i="17"/>
  <c r="N152" i="17"/>
  <c r="J165" i="17"/>
  <c r="N165" i="17"/>
  <c r="J149" i="17"/>
  <c r="N149" i="17"/>
  <c r="J155" i="17"/>
  <c r="N155" i="17" s="1"/>
  <c r="J168" i="17"/>
  <c r="N168" i="17" s="1"/>
  <c r="J164" i="17"/>
  <c r="N164" i="17" s="1"/>
  <c r="J170" i="17"/>
  <c r="N170" i="17" s="1"/>
  <c r="J175" i="17"/>
  <c r="N175" i="17" s="1"/>
  <c r="J151" i="17"/>
  <c r="N151" i="17" s="1"/>
  <c r="J150" i="17"/>
  <c r="N150" i="17"/>
  <c r="J153" i="17"/>
  <c r="N153" i="17"/>
  <c r="J148" i="17"/>
  <c r="N148" i="17"/>
  <c r="J173" i="17"/>
  <c r="N173" i="17"/>
  <c r="J156" i="17"/>
  <c r="N156" i="17"/>
  <c r="J190" i="17"/>
  <c r="N190" i="17"/>
  <c r="J189" i="17"/>
  <c r="N189" i="17" s="1"/>
  <c r="J184" i="17"/>
  <c r="N184" i="17" s="1"/>
  <c r="J195" i="17"/>
  <c r="N195" i="17" s="1"/>
  <c r="J192" i="17"/>
  <c r="N192" i="17"/>
  <c r="J194" i="17"/>
  <c r="N194" i="17" s="1"/>
  <c r="J199" i="17"/>
  <c r="N199" i="17"/>
  <c r="J188" i="17"/>
  <c r="N188" i="17"/>
  <c r="J203" i="17"/>
  <c r="N203" i="17"/>
  <c r="J197" i="17"/>
  <c r="N197" i="17"/>
  <c r="J202" i="17"/>
  <c r="N202" i="17" s="1"/>
  <c r="J181" i="17"/>
  <c r="N181" i="17"/>
  <c r="J183" i="17"/>
  <c r="N183" i="17"/>
  <c r="J185" i="17"/>
  <c r="N185" i="17" s="1"/>
  <c r="J180" i="17"/>
  <c r="N180" i="17" s="1"/>
  <c r="J191" i="17"/>
  <c r="N191" i="17"/>
  <c r="J182" i="17"/>
  <c r="N182" i="17" s="1"/>
  <c r="J196" i="17"/>
  <c r="N196" i="17" s="1"/>
  <c r="J198" i="17"/>
  <c r="N198" i="17"/>
  <c r="J179" i="17"/>
  <c r="N179" i="17"/>
  <c r="J186" i="17"/>
  <c r="N186" i="17"/>
  <c r="J201" i="17"/>
  <c r="N201" i="17" s="1"/>
  <c r="J193" i="17"/>
  <c r="N193" i="17"/>
  <c r="J200" i="17"/>
  <c r="N200" i="17" s="1"/>
  <c r="J178" i="17"/>
  <c r="N178" i="17" s="1"/>
  <c r="J187" i="17"/>
  <c r="N187" i="17"/>
</calcChain>
</file>

<file path=xl/sharedStrings.xml><?xml version="1.0" encoding="utf-8"?>
<sst xmlns="http://schemas.openxmlformats.org/spreadsheetml/2006/main" count="2238" uniqueCount="734">
  <si>
    <t>EN 10025-2: 2004</t>
  </si>
  <si>
    <t>Name</t>
  </si>
  <si>
    <t>G</t>
  </si>
  <si>
    <t>h</t>
  </si>
  <si>
    <t>b</t>
  </si>
  <si>
    <t xml:space="preserve">tw </t>
  </si>
  <si>
    <t>tf</t>
  </si>
  <si>
    <t>r</t>
  </si>
  <si>
    <t>A</t>
  </si>
  <si>
    <t>hi</t>
  </si>
  <si>
    <t>d</t>
  </si>
  <si>
    <t xml:space="preserve"> Ø </t>
  </si>
  <si>
    <t>pmin mm</t>
  </si>
  <si>
    <t>pmax mm</t>
  </si>
  <si>
    <t>AL</t>
  </si>
  <si>
    <t>AG</t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</si>
  <si>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y</t>
    </r>
  </si>
  <si>
    <r>
      <rPr>
        <vertAlign val="super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el,y</t>
    </r>
  </si>
  <si>
    <r>
      <rPr>
        <vertAlign val="super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pl,y</t>
    </r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</si>
  <si>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y</t>
    </r>
  </si>
  <si>
    <r>
      <rPr>
        <vertAlign val="superscript"/>
        <sz val="11"/>
        <rFont val="Calibri"/>
        <family val="2"/>
        <scheme val="minor"/>
      </rPr>
      <t>A</t>
    </r>
    <r>
      <rPr>
        <sz val="11"/>
        <rFont val="Calibri"/>
        <family val="2"/>
        <scheme val="minor"/>
      </rPr>
      <t>vz</t>
    </r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</si>
  <si>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z</t>
    </r>
  </si>
  <si>
    <r>
      <rPr>
        <vertAlign val="super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el,z</t>
    </r>
  </si>
  <si>
    <r>
      <rPr>
        <vertAlign val="super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pl,z</t>
    </r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</si>
  <si>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z</t>
    </r>
  </si>
  <si>
    <r>
      <rPr>
        <vertAlign val="superscript"/>
        <sz val="11"/>
        <rFont val="Calibri"/>
        <family val="2"/>
        <scheme val="minor"/>
      </rPr>
      <t>s</t>
    </r>
    <r>
      <rPr>
        <sz val="11"/>
        <rFont val="Calibri"/>
        <family val="2"/>
        <scheme val="minor"/>
      </rPr>
      <t>s</t>
    </r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</si>
  <si>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t</t>
    </r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</si>
  <si>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w</t>
    </r>
  </si>
  <si>
    <t>S235</t>
  </si>
  <si>
    <t>S355</t>
  </si>
  <si>
    <t>S460</t>
  </si>
  <si>
    <t>[kg/m]</t>
  </si>
  <si>
    <t>[mm]</t>
  </si>
  <si>
    <t>[mm2]</t>
  </si>
  <si>
    <t>-</t>
  </si>
  <si>
    <t>[m2/m]</t>
  </si>
  <si>
    <t>[m2/t]</t>
  </si>
  <si>
    <t>[mm4]</t>
  </si>
  <si>
    <t>[mm3]</t>
  </si>
  <si>
    <t>[mm6]</t>
  </si>
  <si>
    <t>IPE AA 80</t>
  </si>
  <si>
    <t>✓</t>
  </si>
  <si>
    <t>IPE A 80</t>
  </si>
  <si>
    <r>
      <rPr>
        <sz val="11"/>
        <color rgb="FFEA4F00"/>
        <rFont val="Calibri"/>
        <family val="2"/>
        <scheme val="minor"/>
      </rPr>
      <t>-</t>
    </r>
  </si>
  <si>
    <t>IPE 80</t>
  </si>
  <si>
    <t>IPE AA 100</t>
  </si>
  <si>
    <t>IPE A 100</t>
  </si>
  <si>
    <t>IPE 100</t>
  </si>
  <si>
    <t>IPE AA 120</t>
  </si>
  <si>
    <t>IPE A 120</t>
  </si>
  <si>
    <t>IPE 120</t>
  </si>
  <si>
    <t>IPE AA 140</t>
  </si>
  <si>
    <t>IPE A 140</t>
  </si>
  <si>
    <t>IPE 140</t>
  </si>
  <si>
    <t>IPE AA 160</t>
  </si>
  <si>
    <t>IPE A 160</t>
  </si>
  <si>
    <t>IPE 160</t>
  </si>
  <si>
    <t>IPE AA 180</t>
  </si>
  <si>
    <t>M 10</t>
  </si>
  <si>
    <t>IPE A 180</t>
  </si>
  <si>
    <r>
      <rPr>
        <sz val="11"/>
        <color rgb="FFEA4F00"/>
        <rFont val="Calibri"/>
        <family val="2"/>
        <scheme val="minor"/>
      </rPr>
      <t>M 10</t>
    </r>
  </si>
  <si>
    <t>IPE 180</t>
  </si>
  <si>
    <t>IPE O 180</t>
  </si>
  <si>
    <t>IPE AA 200</t>
  </si>
  <si>
    <t>IPE A 200</t>
  </si>
  <si>
    <r>
      <rPr>
        <sz val="11"/>
        <color rgb="FFEA4F00"/>
        <rFont val="Calibri"/>
        <family val="2"/>
        <scheme val="minor"/>
      </rPr>
      <t>IPE 200</t>
    </r>
  </si>
  <si>
    <t>IPE O 200</t>
  </si>
  <si>
    <t>IPE AA 220</t>
  </si>
  <si>
    <t>M 12</t>
  </si>
  <si>
    <t>IPE A 220</t>
  </si>
  <si>
    <r>
      <rPr>
        <sz val="11"/>
        <color rgb="FFEA4F00"/>
        <rFont val="Calibri"/>
        <family val="2"/>
        <scheme val="minor"/>
      </rPr>
      <t>M 12</t>
    </r>
  </si>
  <si>
    <t>IPE 220</t>
  </si>
  <si>
    <t>IPE O 220</t>
  </si>
  <si>
    <t>IPE AA 240</t>
  </si>
  <si>
    <t>IPE A 240</t>
  </si>
  <si>
    <t>IPE 240</t>
  </si>
  <si>
    <t>IPE O 240</t>
  </si>
  <si>
    <t>IPE A 270</t>
  </si>
  <si>
    <r>
      <rPr>
        <sz val="11"/>
        <color rgb="FFEA4F00"/>
        <rFont val="Calibri"/>
        <family val="2"/>
        <scheme val="minor"/>
      </rPr>
      <t>M 16</t>
    </r>
  </si>
  <si>
    <t>IPE 270</t>
  </si>
  <si>
    <t>M 16</t>
  </si>
  <si>
    <t>IPE O 270</t>
  </si>
  <si>
    <t>IPE A 300</t>
  </si>
  <si>
    <t>IPE 300</t>
  </si>
  <si>
    <t>IPE O 300</t>
  </si>
  <si>
    <t>IPE A 330</t>
  </si>
  <si>
    <t>IPE 330</t>
  </si>
  <si>
    <t>IPE O 330</t>
  </si>
  <si>
    <t>IPE A 360</t>
  </si>
  <si>
    <r>
      <rPr>
        <sz val="11"/>
        <color rgb="FFEA4F00"/>
        <rFont val="Calibri"/>
        <family val="2"/>
        <scheme val="minor"/>
      </rPr>
      <t>M 22</t>
    </r>
  </si>
  <si>
    <t>IPE 360</t>
  </si>
  <si>
    <t>M 22</t>
  </si>
  <si>
    <t>IPE O 360</t>
  </si>
  <si>
    <t>IPE A 400</t>
  </si>
  <si>
    <t>IPE 400</t>
  </si>
  <si>
    <t>IPE O 400</t>
  </si>
  <si>
    <t>IPE A 450</t>
  </si>
  <si>
    <r>
      <rPr>
        <sz val="11"/>
        <color rgb="FFEA4F00"/>
        <rFont val="Calibri"/>
        <family val="2"/>
        <scheme val="minor"/>
      </rPr>
      <t>M 24</t>
    </r>
  </si>
  <si>
    <t>IPE 450</t>
  </si>
  <si>
    <t>M 24</t>
  </si>
  <si>
    <t>IPE O 450</t>
  </si>
  <si>
    <t>IPE A 500</t>
  </si>
  <si>
    <t>IPE 500</t>
  </si>
  <si>
    <t>IPE O 500</t>
  </si>
  <si>
    <t>IPE A 550</t>
  </si>
  <si>
    <r>
      <rPr>
        <sz val="11"/>
        <color rgb="FFEA4F00"/>
        <rFont val="Calibri"/>
        <family val="2"/>
        <scheme val="minor"/>
      </rPr>
      <t>IPE 550</t>
    </r>
  </si>
  <si>
    <t>IPE O 550</t>
  </si>
  <si>
    <t>IPE A 600</t>
  </si>
  <si>
    <t>M 27</t>
  </si>
  <si>
    <r>
      <rPr>
        <sz val="11"/>
        <color rgb="FFEA4F00"/>
        <rFont val="Calibri"/>
        <family val="2"/>
        <scheme val="minor"/>
      </rPr>
      <t>IPE 600</t>
    </r>
  </si>
  <si>
    <r>
      <rPr>
        <sz val="11"/>
        <color rgb="FFEA4F00"/>
        <rFont val="Calibri"/>
        <family val="2"/>
        <scheme val="minor"/>
      </rPr>
      <t>M 27</t>
    </r>
  </si>
  <si>
    <t>IPE O 600</t>
  </si>
  <si>
    <t>IPE 750 x 137</t>
  </si>
  <si>
    <r>
      <rPr>
        <sz val="11"/>
        <color rgb="FFEA4F00"/>
        <rFont val="Calibri"/>
        <family val="2"/>
        <scheme val="minor"/>
      </rPr>
      <t>IPE 750 x 147</t>
    </r>
  </si>
  <si>
    <t>IPE 750 x 173</t>
  </si>
  <si>
    <t>IPE 750 x 196</t>
  </si>
  <si>
    <t>tw</t>
  </si>
  <si>
    <t>Ø</t>
  </si>
  <si>
    <t>pmin</t>
  </si>
  <si>
    <t>pmax</t>
  </si>
  <si>
    <r>
      <rPr>
        <vertAlign val="superscript"/>
        <sz val="11"/>
        <rFont val="Calibri"/>
        <family val="2"/>
        <scheme val="minor"/>
      </rPr>
      <t>s</t>
    </r>
    <r>
      <rPr>
        <sz val="11"/>
        <rFont val="Calibri"/>
        <family val="2"/>
        <scheme val="minor"/>
      </rPr>
      <t>s mm</t>
    </r>
  </si>
  <si>
    <t>HE 100 AA</t>
  </si>
  <si>
    <r>
      <rPr>
        <sz val="11"/>
        <color rgb="FFEA4F00"/>
        <rFont val="Calibri"/>
        <family val="2"/>
        <scheme val="minor"/>
      </rPr>
      <t>HE 100 A</t>
    </r>
  </si>
  <si>
    <t>HE 100 B</t>
  </si>
  <si>
    <t>HE 100 C</t>
  </si>
  <si>
    <t>HE 100 M</t>
  </si>
  <si>
    <t>HE 120 AA</t>
  </si>
  <si>
    <r>
      <rPr>
        <sz val="11"/>
        <color rgb="FFEA4F00"/>
        <rFont val="Calibri"/>
        <family val="2"/>
        <scheme val="minor"/>
      </rPr>
      <t>HE 120 A</t>
    </r>
  </si>
  <si>
    <t>HE 120 B</t>
  </si>
  <si>
    <t>HE 120 C</t>
  </si>
  <si>
    <t>HE 120 M</t>
  </si>
  <si>
    <t>HE 140 AA</t>
  </si>
  <si>
    <r>
      <rPr>
        <sz val="11"/>
        <color rgb="FFEA4F00"/>
        <rFont val="Calibri"/>
        <family val="2"/>
        <scheme val="minor"/>
      </rPr>
      <t>HE 140 A</t>
    </r>
  </si>
  <si>
    <t>HE 140 B</t>
  </si>
  <si>
    <t>HE 140 C</t>
  </si>
  <si>
    <t>HE 140 M</t>
  </si>
  <si>
    <t>HE 160 AA</t>
  </si>
  <si>
    <t>M 20</t>
  </si>
  <si>
    <r>
      <rPr>
        <sz val="11"/>
        <color rgb="FFEA4F00"/>
        <rFont val="Calibri"/>
        <family val="2"/>
        <scheme val="minor"/>
      </rPr>
      <t>HE 160 A</t>
    </r>
  </si>
  <si>
    <r>
      <rPr>
        <sz val="11"/>
        <color rgb="FFEA4F00"/>
        <rFont val="Calibri"/>
        <family val="2"/>
        <scheme val="minor"/>
      </rPr>
      <t>M 20</t>
    </r>
  </si>
  <si>
    <t>HE 160 B</t>
  </si>
  <si>
    <t>HE 160 C</t>
  </si>
  <si>
    <t>HE 160 M</t>
  </si>
  <si>
    <t>HE 180 AA</t>
  </si>
  <si>
    <r>
      <rPr>
        <sz val="11"/>
        <color rgb="FFEA4F00"/>
        <rFont val="Calibri"/>
        <family val="2"/>
        <scheme val="minor"/>
      </rPr>
      <t>HE 180 A</t>
    </r>
  </si>
  <si>
    <t>HE 180 B</t>
  </si>
  <si>
    <t>HE 180 C</t>
  </si>
  <si>
    <t>HE 180 M</t>
  </si>
  <si>
    <t>HE 200 AA</t>
  </si>
  <si>
    <r>
      <rPr>
        <sz val="11"/>
        <color rgb="FFEA4F00"/>
        <rFont val="Calibri"/>
        <family val="2"/>
        <scheme val="minor"/>
      </rPr>
      <t>HE 200 A</t>
    </r>
  </si>
  <si>
    <t>HE 200 B</t>
  </si>
  <si>
    <t>HE 200 C</t>
  </si>
  <si>
    <t>HE 200 M</t>
  </si>
  <si>
    <t>HE 220 AA</t>
  </si>
  <si>
    <r>
      <rPr>
        <sz val="11"/>
        <color rgb="FFEA4F00"/>
        <rFont val="Calibri"/>
        <family val="2"/>
        <scheme val="minor"/>
      </rPr>
      <t>HE 220 A</t>
    </r>
  </si>
  <si>
    <t>HE 220 B</t>
  </si>
  <si>
    <t>HE 220 C</t>
  </si>
  <si>
    <t>HE 220 M</t>
  </si>
  <si>
    <t>HE 240 AA</t>
  </si>
  <si>
    <r>
      <rPr>
        <sz val="11"/>
        <color rgb="FFEA4F00"/>
        <rFont val="Calibri"/>
        <family val="2"/>
        <scheme val="minor"/>
      </rPr>
      <t>HE 240 A</t>
    </r>
  </si>
  <si>
    <t>HE 240 B</t>
  </si>
  <si>
    <t>HE 240 C</t>
  </si>
  <si>
    <t>HE 240 M</t>
  </si>
  <si>
    <t>HE 260 AA</t>
  </si>
  <si>
    <r>
      <rPr>
        <sz val="11"/>
        <color rgb="FFEA4F00"/>
        <rFont val="Calibri"/>
        <family val="2"/>
        <scheme val="minor"/>
      </rPr>
      <t>HE 260 A</t>
    </r>
  </si>
  <si>
    <t>HE 260 B</t>
  </si>
  <si>
    <t>HE 260 C</t>
  </si>
  <si>
    <t>HE 260 M</t>
  </si>
  <si>
    <t>HE 280 AA</t>
  </si>
  <si>
    <r>
      <rPr>
        <sz val="11"/>
        <color rgb="FFEA4F00"/>
        <rFont val="Calibri"/>
        <family val="2"/>
        <scheme val="minor"/>
      </rPr>
      <t>HE 280 A</t>
    </r>
  </si>
  <si>
    <t>HE 280 B</t>
  </si>
  <si>
    <t>HE 280 C</t>
  </si>
  <si>
    <t>HE 280 M</t>
  </si>
  <si>
    <t>HE 300 AA</t>
  </si>
  <si>
    <r>
      <rPr>
        <sz val="11"/>
        <color rgb="FFEA4F00"/>
        <rFont val="Calibri"/>
        <family val="2"/>
        <scheme val="minor"/>
      </rPr>
      <t>HE 300 A</t>
    </r>
  </si>
  <si>
    <t>HE 300 B</t>
  </si>
  <si>
    <t>HE 300 C</t>
  </si>
  <si>
    <t>HE 300 M</t>
  </si>
  <si>
    <t>HE 320 AA</t>
  </si>
  <si>
    <r>
      <rPr>
        <sz val="11"/>
        <color rgb="FFEA4F00"/>
        <rFont val="Calibri"/>
        <family val="2"/>
        <scheme val="minor"/>
      </rPr>
      <t>HE 320 A</t>
    </r>
  </si>
  <si>
    <t>HE 320 B</t>
  </si>
  <si>
    <t>HE 320 C</t>
  </si>
  <si>
    <t>HE 320 M</t>
  </si>
  <si>
    <t>HE 340 AA</t>
  </si>
  <si>
    <r>
      <rPr>
        <sz val="11"/>
        <color rgb="FFEA4F00"/>
        <rFont val="Calibri"/>
        <family val="2"/>
        <scheme val="minor"/>
      </rPr>
      <t>HE 340 A</t>
    </r>
  </si>
  <si>
    <t>HE 340 B</t>
  </si>
  <si>
    <r>
      <rPr>
        <sz val="11"/>
        <color rgb="FFEA4F00"/>
        <rFont val="Calibri"/>
        <family val="2"/>
        <scheme val="minor"/>
      </rPr>
      <t>HE 340 M</t>
    </r>
  </si>
  <si>
    <t>HE 360 AA</t>
  </si>
  <si>
    <t>HE 360 A</t>
  </si>
  <si>
    <r>
      <rPr>
        <sz val="11"/>
        <color rgb="FFEA4F00"/>
        <rFont val="Calibri"/>
        <family val="2"/>
        <scheme val="minor"/>
      </rPr>
      <t>HE 360 B</t>
    </r>
  </si>
  <si>
    <t>HE 360 M</t>
  </si>
  <si>
    <t>HE 400 AA</t>
  </si>
  <si>
    <r>
      <rPr>
        <sz val="11"/>
        <color rgb="FFEA4F00"/>
        <rFont val="Calibri"/>
        <family val="2"/>
        <scheme val="minor"/>
      </rPr>
      <t>HE 400 A</t>
    </r>
  </si>
  <si>
    <t>HE 400 B</t>
  </si>
  <si>
    <r>
      <rPr>
        <sz val="11"/>
        <color rgb="FFEA4F00"/>
        <rFont val="Calibri"/>
        <family val="2"/>
        <scheme val="minor"/>
      </rPr>
      <t>HE 400 M</t>
    </r>
  </si>
  <si>
    <t>HE 450 AA</t>
  </si>
  <si>
    <t>HE 450 A</t>
  </si>
  <si>
    <r>
      <rPr>
        <sz val="11"/>
        <color rgb="FFEA4F00"/>
        <rFont val="Calibri"/>
        <family val="2"/>
        <scheme val="minor"/>
      </rPr>
      <t>HE 450 B</t>
    </r>
  </si>
  <si>
    <t>HE 450 M</t>
  </si>
  <si>
    <t>HE 500 AA</t>
  </si>
  <si>
    <r>
      <rPr>
        <sz val="11"/>
        <color rgb="FFEA4F00"/>
        <rFont val="Calibri"/>
        <family val="2"/>
        <scheme val="minor"/>
      </rPr>
      <t>HE 500 A</t>
    </r>
  </si>
  <si>
    <t>HE 500 B</t>
  </si>
  <si>
    <r>
      <rPr>
        <sz val="11"/>
        <color rgb="FFEA4F00"/>
        <rFont val="Calibri"/>
        <family val="2"/>
        <scheme val="minor"/>
      </rPr>
      <t>HE 500 M</t>
    </r>
  </si>
  <si>
    <t>HE 550 AA</t>
  </si>
  <si>
    <t>HE 550 A</t>
  </si>
  <si>
    <r>
      <rPr>
        <sz val="11"/>
        <color rgb="FFEA4F00"/>
        <rFont val="Calibri"/>
        <family val="2"/>
        <scheme val="minor"/>
      </rPr>
      <t>HE 550 B</t>
    </r>
  </si>
  <si>
    <t>HE 550 M</t>
  </si>
  <si>
    <t>HE 600 AA</t>
  </si>
  <si>
    <r>
      <rPr>
        <sz val="11"/>
        <color rgb="FFEA4F00"/>
        <rFont val="Calibri"/>
        <family val="2"/>
        <scheme val="minor"/>
      </rPr>
      <t>HE 600 A</t>
    </r>
  </si>
  <si>
    <t>HE 600 B</t>
  </si>
  <si>
    <r>
      <rPr>
        <sz val="11"/>
        <color rgb="FFEA4F00"/>
        <rFont val="Calibri"/>
        <family val="2"/>
        <scheme val="minor"/>
      </rPr>
      <t>HE 600 M</t>
    </r>
  </si>
  <si>
    <t>HE 600 x 337</t>
  </si>
  <si>
    <t>HE 600 x 399</t>
  </si>
  <si>
    <t>HE 650 AA</t>
  </si>
  <si>
    <r>
      <rPr>
        <sz val="11"/>
        <color rgb="FFEA4F00"/>
        <rFont val="Calibri"/>
        <family val="2"/>
        <scheme val="minor"/>
      </rPr>
      <t>HE 650 A</t>
    </r>
  </si>
  <si>
    <t>HE 650 B</t>
  </si>
  <si>
    <r>
      <rPr>
        <sz val="11"/>
        <color rgb="FFEA4F00"/>
        <rFont val="Calibri"/>
        <family val="2"/>
        <scheme val="minor"/>
      </rPr>
      <t>HE 650 M</t>
    </r>
  </si>
  <si>
    <t>HE 650 x 343</t>
  </si>
  <si>
    <t>HE 650 x 407</t>
  </si>
  <si>
    <t>HE 700 AA</t>
  </si>
  <si>
    <t>HE 700 A</t>
  </si>
  <si>
    <r>
      <rPr>
        <sz val="11"/>
        <color rgb="FFEA4F00"/>
        <rFont val="Calibri"/>
        <family val="2"/>
        <scheme val="minor"/>
      </rPr>
      <t>HE 700 B</t>
    </r>
  </si>
  <si>
    <t>HE 700 M</t>
  </si>
  <si>
    <t>HE 700 x 352</t>
  </si>
  <si>
    <t>HE 700 x 418</t>
  </si>
  <si>
    <t>HE 800 AA</t>
  </si>
  <si>
    <r>
      <rPr>
        <sz val="11"/>
        <color rgb="FFEA4F00"/>
        <rFont val="Calibri"/>
        <family val="2"/>
        <scheme val="minor"/>
      </rPr>
      <t>HE 800 A</t>
    </r>
  </si>
  <si>
    <t>HE 800 B</t>
  </si>
  <si>
    <r>
      <rPr>
        <sz val="11"/>
        <color rgb="FFEA4F00"/>
        <rFont val="Calibri"/>
        <family val="2"/>
        <scheme val="minor"/>
      </rPr>
      <t>HE 800 M</t>
    </r>
  </si>
  <si>
    <t>HE 800 x 373</t>
  </si>
  <si>
    <t>HE 800 x 444</t>
  </si>
  <si>
    <t>HE 900 AA</t>
  </si>
  <si>
    <t>HE 900 A</t>
  </si>
  <si>
    <r>
      <rPr>
        <sz val="11"/>
        <color rgb="FFEA4F00"/>
        <rFont val="Calibri"/>
        <family val="2"/>
        <scheme val="minor"/>
      </rPr>
      <t>HE 900 B</t>
    </r>
  </si>
  <si>
    <t>HE 900 M</t>
  </si>
  <si>
    <t>HE 900 x 391</t>
  </si>
  <si>
    <t>HE 900 x 466</t>
  </si>
  <si>
    <t>HE 1000 AA</t>
  </si>
  <si>
    <t>HE 1000 x 249</t>
  </si>
  <si>
    <t>HE 1000 A</t>
  </si>
  <si>
    <r>
      <rPr>
        <sz val="11"/>
        <color rgb="FFEA4F00"/>
        <rFont val="Calibri"/>
        <family val="2"/>
        <scheme val="minor"/>
      </rPr>
      <t>HE 1000 B</t>
    </r>
  </si>
  <si>
    <t>HE 1000 M</t>
  </si>
  <si>
    <t>HE 1000 x 393</t>
  </si>
  <si>
    <t>HE 1000 x 415</t>
  </si>
  <si>
    <t>HE 1000 x 438</t>
  </si>
  <si>
    <t>HE 1000 x 494</t>
  </si>
  <si>
    <t>HE 1000 x 584</t>
  </si>
  <si>
    <t xml:space="preserve">h </t>
  </si>
  <si>
    <t>IPN 80</t>
  </si>
  <si>
    <t>IPN 100</t>
  </si>
  <si>
    <t>IPN 120</t>
  </si>
  <si>
    <t>IPN 140</t>
  </si>
  <si>
    <t>IPN 160</t>
  </si>
  <si>
    <t>IPN 180</t>
  </si>
  <si>
    <t>IPN 200</t>
  </si>
  <si>
    <t>IPN 220</t>
  </si>
  <si>
    <t>IPN 240</t>
  </si>
  <si>
    <t>IPN 260</t>
  </si>
  <si>
    <t>IPN 280</t>
  </si>
  <si>
    <t>IPN 300</t>
  </si>
  <si>
    <t>IPN 320</t>
  </si>
  <si>
    <t>IPN 340</t>
  </si>
  <si>
    <t>IPN 360</t>
  </si>
  <si>
    <t>IPN 380</t>
  </si>
  <si>
    <t>IPN 400</t>
  </si>
  <si>
    <t>IPN 450</t>
  </si>
  <si>
    <t>IPN 500</t>
  </si>
  <si>
    <t>IPN 550</t>
  </si>
  <si>
    <t>IPN 600</t>
  </si>
  <si>
    <t>A
mm2 
x102</t>
  </si>
  <si>
    <t>hi mm</t>
  </si>
  <si>
    <t>d mm</t>
  </si>
  <si>
    <t>AL
m2/m</t>
  </si>
  <si>
    <t>AG
m2/t</t>
  </si>
  <si>
    <t>HL 920 X 342</t>
  </si>
  <si>
    <t>HL 920 X 365</t>
  </si>
  <si>
    <t>HL 920 X 387</t>
  </si>
  <si>
    <t>HL 920 X 417</t>
  </si>
  <si>
    <t>HL 920 X 446</t>
  </si>
  <si>
    <t>HL 920 X 488</t>
  </si>
  <si>
    <t>HL 920 X 534</t>
  </si>
  <si>
    <t>HL 920 X 585</t>
  </si>
  <si>
    <t>HL 920 X 653</t>
  </si>
  <si>
    <t>HL 920 X 784</t>
  </si>
  <si>
    <t>HL 920 X 967</t>
  </si>
  <si>
    <t>HL 920 x 344</t>
  </si>
  <si>
    <t>HL 920 x 368</t>
  </si>
  <si>
    <t>HL 920 x 390</t>
  </si>
  <si>
    <t>HL 920 x 420</t>
  </si>
  <si>
    <t>HL 920 x 449</t>
  </si>
  <si>
    <t>HL 920 x 491</t>
  </si>
  <si>
    <t>HL 920 x 537</t>
  </si>
  <si>
    <t>HL 920 x 588</t>
  </si>
  <si>
    <t>HL 920 x 656</t>
  </si>
  <si>
    <t>HL 920 x 725</t>
  </si>
  <si>
    <t>HL 920 x 787</t>
  </si>
  <si>
    <t>HL 920 x 970</t>
  </si>
  <si>
    <t>HL 1000 AA</t>
  </si>
  <si>
    <t>HL 1000 A</t>
  </si>
  <si>
    <t>HL 1000 B</t>
  </si>
  <si>
    <t>HL 1000 M</t>
  </si>
  <si>
    <t>HL 1000 x 443</t>
  </si>
  <si>
    <t>HL 1000 x 483</t>
  </si>
  <si>
    <t>HL 1000 x 539</t>
  </si>
  <si>
    <t>HL 1000 x 554</t>
  </si>
  <si>
    <t>HL 1000 x 591</t>
  </si>
  <si>
    <t>HL 1000 x 642</t>
  </si>
  <si>
    <t>HL 1000 x 748</t>
  </si>
  <si>
    <t>HL 1000 x 883</t>
  </si>
  <si>
    <t>HL 1100 A</t>
  </si>
  <si>
    <t>HL 1100 B</t>
  </si>
  <si>
    <t>HL 1100 M</t>
  </si>
  <si>
    <t>HL 1100 R</t>
  </si>
  <si>
    <t>HP 200 x 43</t>
  </si>
  <si>
    <t>HP 200 x 53</t>
  </si>
  <si>
    <t>HP 220 x 57</t>
  </si>
  <si>
    <t>HP 260 x 75</t>
  </si>
  <si>
    <t>HP 260 x 87</t>
  </si>
  <si>
    <t>HP 305 x 79</t>
  </si>
  <si>
    <t>HP 305 x 88</t>
  </si>
  <si>
    <t>HP 305 x 95</t>
  </si>
  <si>
    <t>HP 305 x 110</t>
  </si>
  <si>
    <t>HP 305 x 126</t>
  </si>
  <si>
    <t>HP 305 x 149</t>
  </si>
  <si>
    <t>HP 305 x 180</t>
  </si>
  <si>
    <t>HP 305 x 186</t>
  </si>
  <si>
    <t>HP 305 x 223</t>
  </si>
  <si>
    <t>HP 320 x 88</t>
  </si>
  <si>
    <t>HP 320 x 103</t>
  </si>
  <si>
    <t>HP 320 x 117</t>
  </si>
  <si>
    <t>HP 320 x 147</t>
  </si>
  <si>
    <t>HP 320 x 184</t>
  </si>
  <si>
    <t>HP 360 x 109</t>
  </si>
  <si>
    <t>HP 360 x 133</t>
  </si>
  <si>
    <t>HP 360 x 152</t>
  </si>
  <si>
    <t>HP 360 x 174</t>
  </si>
  <si>
    <t>HP 360 x 180</t>
  </si>
  <si>
    <t>HP 400 x 122</t>
  </si>
  <si>
    <t>HP 400 x 140</t>
  </si>
  <si>
    <t>HP 400 x 158</t>
  </si>
  <si>
    <t>HP 400 x 176</t>
  </si>
  <si>
    <t>HP 400 x 194</t>
  </si>
  <si>
    <t>HP 400 x 213</t>
  </si>
  <si>
    <t>HP 400 x 231</t>
  </si>
  <si>
    <t>emin</t>
  </si>
  <si>
    <t>emax</t>
  </si>
  <si>
    <t>ys</t>
  </si>
  <si>
    <t>ym</t>
  </si>
  <si>
    <t>UPE 80</t>
  </si>
  <si>
    <t>UPE 100</t>
  </si>
  <si>
    <t>UPE 120</t>
  </si>
  <si>
    <t>UPE 140</t>
  </si>
  <si>
    <t>UPE 160</t>
  </si>
  <si>
    <t>UPE 180</t>
  </si>
  <si>
    <t>UPE 200</t>
  </si>
  <si>
    <t>UPE 220</t>
  </si>
  <si>
    <t>UPE 240</t>
  </si>
  <si>
    <t>UPE 270</t>
  </si>
  <si>
    <t>UPE 300</t>
  </si>
  <si>
    <t>UPE 330</t>
  </si>
  <si>
    <t>UPE 360</t>
  </si>
  <si>
    <t>UPE 400</t>
  </si>
  <si>
    <t>r1</t>
  </si>
  <si>
    <t>r2</t>
  </si>
  <si>
    <t>UPN 50</t>
  </si>
  <si>
    <t>UPN 65</t>
  </si>
  <si>
    <t>UPN 80</t>
  </si>
  <si>
    <t>UPN 100</t>
  </si>
  <si>
    <r>
      <rPr>
        <sz val="11"/>
        <color rgb="FFEA4F00"/>
        <rFont val="Calibri"/>
        <family val="2"/>
        <scheme val="minor"/>
      </rPr>
      <t>UPN 120</t>
    </r>
  </si>
  <si>
    <t>UPN 140</t>
  </si>
  <si>
    <r>
      <rPr>
        <sz val="11"/>
        <color rgb="FFEA4F00"/>
        <rFont val="Calibri"/>
        <family val="2"/>
        <scheme val="minor"/>
      </rPr>
      <t>UPN 160</t>
    </r>
  </si>
  <si>
    <t>UPN 180</t>
  </si>
  <si>
    <t>UPN 200</t>
  </si>
  <si>
    <r>
      <rPr>
        <sz val="11"/>
        <color rgb="FFEA4F00"/>
        <rFont val="Calibri"/>
        <family val="2"/>
        <scheme val="minor"/>
      </rPr>
      <t>UPN 220</t>
    </r>
  </si>
  <si>
    <t>UPN 240</t>
  </si>
  <si>
    <r>
      <rPr>
        <sz val="11"/>
        <color rgb="FFEA4F00"/>
        <rFont val="Calibri"/>
        <family val="2"/>
        <scheme val="minor"/>
      </rPr>
      <t>UPN 260</t>
    </r>
  </si>
  <si>
    <t>UPN 280</t>
  </si>
  <si>
    <t>UPN 300</t>
  </si>
  <si>
    <t>UPN 320</t>
  </si>
  <si>
    <t>UPN 350</t>
  </si>
  <si>
    <r>
      <rPr>
        <sz val="11"/>
        <color rgb="FFEA4F00"/>
        <rFont val="Calibri"/>
        <family val="2"/>
        <scheme val="minor"/>
      </rPr>
      <t>UPN 380*</t>
    </r>
  </si>
  <si>
    <t>UPN 400</t>
  </si>
  <si>
    <t>HD 260 x 54,1</t>
  </si>
  <si>
    <t>HD 260 x 68,2</t>
  </si>
  <si>
    <t>HD 260 x 93,0</t>
  </si>
  <si>
    <t>HD 260 x 114</t>
  </si>
  <si>
    <t>HD 260 x 142</t>
  </si>
  <si>
    <t>HD 260 x 172</t>
  </si>
  <si>
    <t>HD 320 x 74,2</t>
  </si>
  <si>
    <t>HD 320 x 97,6</t>
  </si>
  <si>
    <t>HD 320 x 127</t>
  </si>
  <si>
    <t>HD 320 x 158</t>
  </si>
  <si>
    <t>HD 320 x 198</t>
  </si>
  <si>
    <t>HD 320 x 245</t>
  </si>
  <si>
    <t>HD 320 x 300</t>
  </si>
  <si>
    <t>HD 360 x 134</t>
  </si>
  <si>
    <t>HD 360 x 147</t>
  </si>
  <si>
    <t>HD 360 x 162</t>
  </si>
  <si>
    <t>HD 360 x 179</t>
  </si>
  <si>
    <t>HD 360 x 196</t>
  </si>
  <si>
    <t>HD 400 x 187</t>
  </si>
  <si>
    <t>HD 400 x 216</t>
  </si>
  <si>
    <t>HD 400 x 237</t>
  </si>
  <si>
    <t>HD 400 x 262</t>
  </si>
  <si>
    <t>HD 400 x 287</t>
  </si>
  <si>
    <t>HD 400 x 314</t>
  </si>
  <si>
    <t>HD 400 x 347</t>
  </si>
  <si>
    <t>HD 400 x 382</t>
  </si>
  <si>
    <t>HD 400 x 421</t>
  </si>
  <si>
    <t>HD 400 x 463</t>
  </si>
  <si>
    <t>HD 400 x 509</t>
  </si>
  <si>
    <t>HD 400 x 551</t>
  </si>
  <si>
    <t>HD 400 x 592</t>
  </si>
  <si>
    <t>HD 400 x 634</t>
  </si>
  <si>
    <t>HD 400 x 677</t>
  </si>
  <si>
    <t>HD 400 x 744</t>
  </si>
  <si>
    <t>HD 400 x 818</t>
  </si>
  <si>
    <t>HD 400 x 900</t>
  </si>
  <si>
    <t>HD 400 x 990</t>
  </si>
  <si>
    <t>HD 400 x 1086</t>
  </si>
  <si>
    <t>U 40 x 20 x 4</t>
  </si>
  <si>
    <t>U 40 x 20 x 5</t>
  </si>
  <si>
    <t>U 50 x 25 x 5</t>
  </si>
  <si>
    <t>U 60 x 30 x 6</t>
  </si>
  <si>
    <t>U 65 x 42 x 5.5</t>
  </si>
  <si>
    <t>h = b</t>
  </si>
  <si>
    <t>t</t>
  </si>
  <si>
    <t>Anet</t>
  </si>
  <si>
    <t>zs=ys</t>
  </si>
  <si>
    <t>v</t>
  </si>
  <si>
    <t>u1</t>
  </si>
  <si>
    <t>u2</t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</si>
  <si>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y = Iz</t>
    </r>
  </si>
  <si>
    <r>
      <rPr>
        <vertAlign val="super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el,y = Wel,z</t>
    </r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</si>
  <si>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y = iz</t>
    </r>
  </si>
  <si>
    <t>Iu</t>
  </si>
  <si>
    <t>iu</t>
  </si>
  <si>
    <t>Iv</t>
  </si>
  <si>
    <t>iv</t>
  </si>
  <si>
    <t>Iyz</t>
  </si>
  <si>
    <t>m²/m</t>
  </si>
  <si>
    <t>m²/t</t>
  </si>
  <si>
    <t>L 20 x 20 x 3</t>
  </si>
  <si>
    <t>L 25 x 25 x 3</t>
  </si>
  <si>
    <t>L 25 x 25 x 4</t>
  </si>
  <si>
    <t>L 30 x 30 x 3</t>
  </si>
  <si>
    <t>L 30 x 30 x 4</t>
  </si>
  <si>
    <t>L 35 x 35 x 4</t>
  </si>
  <si>
    <t>L 40 x 40 x 4</t>
  </si>
  <si>
    <t>L 40 x 40 x 5</t>
  </si>
  <si>
    <t>L 45 x 45 x 4</t>
  </si>
  <si>
    <t>L 45 x 45 x 4,5</t>
  </si>
  <si>
    <t>L 45 x 45 x 5</t>
  </si>
  <si>
    <t>L 50 x 50 x 4</t>
  </si>
  <si>
    <t>L 50 x 50 x 5</t>
  </si>
  <si>
    <t>L 50 x 50 x 6</t>
  </si>
  <si>
    <t>L 50 x 50 x 7</t>
  </si>
  <si>
    <t>L 55 x 55 x 5</t>
  </si>
  <si>
    <t>L 55 x 55 x 6</t>
  </si>
  <si>
    <t>L 60 x 60 x 4</t>
  </si>
  <si>
    <t>M12</t>
  </si>
  <si>
    <t>L 60 x 60 x 5</t>
  </si>
  <si>
    <t>L 60 x 60 x 6</t>
  </si>
  <si>
    <t>L 60 x 60 x 8</t>
  </si>
  <si>
    <t>L 65 x 65 x 6</t>
  </si>
  <si>
    <t>M16</t>
  </si>
  <si>
    <t>L 65 x 65 x 7</t>
  </si>
  <si>
    <t>L 65 x 65 x 8</t>
  </si>
  <si>
    <t>L 70 x 70 x 6</t>
  </si>
  <si>
    <t>L 70 x 70 x 7</t>
  </si>
  <si>
    <t>L 70 x 70 x 8</t>
  </si>
  <si>
    <t>L 70 x 70 x 9</t>
  </si>
  <si>
    <t>L 75 x 75 x 4</t>
  </si>
  <si>
    <t>L 75 x 75 x 5</t>
  </si>
  <si>
    <t>L 75 x 75 x 6</t>
  </si>
  <si>
    <t>L 75 x 75 x 7</t>
  </si>
  <si>
    <t>L 75 x 75 x 8</t>
  </si>
  <si>
    <t>L 75 x 75 x 10</t>
  </si>
  <si>
    <t>L 80 x 80 x 5</t>
  </si>
  <si>
    <t>L 80 x 80 x 6</t>
  </si>
  <si>
    <t>L 80 x 80 x 7</t>
  </si>
  <si>
    <t>L 80 x 80 x 8</t>
  </si>
  <si>
    <t>L 80 x 80 x 10</t>
  </si>
  <si>
    <t>L 90 x 90 x 6</t>
  </si>
  <si>
    <t>M24</t>
  </si>
  <si>
    <t>L 90 x 90 x 7</t>
  </si>
  <si>
    <t>L 90 x 90 x 8</t>
  </si>
  <si>
    <t>L 90 x 90 x 9</t>
  </si>
  <si>
    <t>L 90 x 90 x 10</t>
  </si>
  <si>
    <t>L 90 x 90 x 11</t>
  </si>
  <si>
    <t>L 100 x 100 x 6</t>
  </si>
  <si>
    <t>M27</t>
  </si>
  <si>
    <t>L 100 x 100 x 7</t>
  </si>
  <si>
    <t>L 100 x 100 x 8</t>
  </si>
  <si>
    <t>L 100 x 100 x 10</t>
  </si>
  <si>
    <t>L 100 x 100 x 12</t>
  </si>
  <si>
    <t>L 110 x 110 x 8</t>
  </si>
  <si>
    <t>L 110 x 110 x 10</t>
  </si>
  <si>
    <t>L 110 x 110 x 12</t>
  </si>
  <si>
    <t>L 120 x 120 x 8</t>
  </si>
  <si>
    <t>L 120 x 120 x 10</t>
  </si>
  <si>
    <t>L 120 x 120 x 11</t>
  </si>
  <si>
    <t>L 120 x 120 x 12</t>
  </si>
  <si>
    <t>L 120 x 120 x 13</t>
  </si>
  <si>
    <t>L 120 x 120 x 15</t>
  </si>
  <si>
    <t>L 120 x 120 x 16</t>
  </si>
  <si>
    <t>L 130 x 130 x 10</t>
  </si>
  <si>
    <t>L 130 x 130 x 12</t>
  </si>
  <si>
    <t>L 130 x 130 x 13</t>
  </si>
  <si>
    <t>L 130 x 130 x 14</t>
  </si>
  <si>
    <t>L 130 x 130 x 16</t>
  </si>
  <si>
    <t>L 150 x 150 x 10</t>
  </si>
  <si>
    <t>L 150 x 150 x 12</t>
  </si>
  <si>
    <t>L 150 x 150 x 13</t>
  </si>
  <si>
    <t>L 150 x 150 x 14</t>
  </si>
  <si>
    <t>L 150 x 150 x 15</t>
  </si>
  <si>
    <t>L 150 x 150 x 16</t>
  </si>
  <si>
    <t>L 150 x 150 x 18</t>
  </si>
  <si>
    <t>L 150 x 150 x 20</t>
  </si>
  <si>
    <t>L 160 x 160 x 14</t>
  </si>
  <si>
    <t>L 160 x 160 x 15</t>
  </si>
  <si>
    <t>L 160 x 160 x 16</t>
  </si>
  <si>
    <t>L 160 x 160 x 17</t>
  </si>
  <si>
    <t>L 180 x 180 x 13</t>
  </si>
  <si>
    <t>L 180 x 180 x 14</t>
  </si>
  <si>
    <t>L 180 x 180 x 15</t>
  </si>
  <si>
    <t>L 180 x 180 x 16</t>
  </si>
  <si>
    <t>L 180 x 180 x 17</t>
  </si>
  <si>
    <t>L 180 x 180 x 18</t>
  </si>
  <si>
    <t>L 180 x 180 x 19</t>
  </si>
  <si>
    <t>L 180 x 180 x 20</t>
  </si>
  <si>
    <t>L 200 x 200 x 15</t>
  </si>
  <si>
    <t>L 200 x 200 x 16</t>
  </si>
  <si>
    <t>L 200 x 200 x 17</t>
  </si>
  <si>
    <t>L 200 x 200 x 18</t>
  </si>
  <si>
    <t>L 200 x 200 x 19</t>
  </si>
  <si>
    <t>L 200 x 200 x 20</t>
  </si>
  <si>
    <t>L 200 x 200 x 21</t>
  </si>
  <si>
    <t>L 200 x 200 x 22</t>
  </si>
  <si>
    <t>L 200 x 200 x 23</t>
  </si>
  <si>
    <t>L 200 x 200 x 24</t>
  </si>
  <si>
    <t>L 200 x 200 x 25</t>
  </si>
  <si>
    <t>L 200 x 200 x 26</t>
  </si>
  <si>
    <t>L 250 x 250 x 20</t>
  </si>
  <si>
    <t>L 250 x 250 x 21</t>
  </si>
  <si>
    <t>L 250 x 250 x 22</t>
  </si>
  <si>
    <t>L 250 x 250 x 23</t>
  </si>
  <si>
    <t>L 250 x 250 x 24</t>
  </si>
  <si>
    <t>L 250 x 250 x 25</t>
  </si>
  <si>
    <t>L 250 x 250 x 26</t>
  </si>
  <si>
    <t>L 250 x 250 x 27</t>
  </si>
  <si>
    <t>L 250 x 250 x 28</t>
  </si>
  <si>
    <t>L 250 x 250 x 35</t>
  </si>
  <si>
    <t>Øz</t>
  </si>
  <si>
    <t>ez,min</t>
  </si>
  <si>
    <t>ez,max</t>
  </si>
  <si>
    <t>Az,net</t>
  </si>
  <si>
    <t>Øy</t>
  </si>
  <si>
    <t>ey,min</t>
  </si>
  <si>
    <t>ey,max</t>
  </si>
  <si>
    <t>Ay,net</t>
  </si>
  <si>
    <t>zs</t>
  </si>
  <si>
    <t>v1</t>
  </si>
  <si>
    <t>v2</t>
  </si>
  <si>
    <t>u3</t>
  </si>
  <si>
    <t>iy</t>
  </si>
  <si>
    <t>Iz</t>
  </si>
  <si>
    <t xml:space="preserve"> Wel,z</t>
  </si>
  <si>
    <t xml:space="preserve"> iz</t>
  </si>
  <si>
    <t>α
˚</t>
  </si>
  <si>
    <t>L 100 x 65 x 7</t>
  </si>
  <si>
    <t>L 100 x 65 x 8</t>
  </si>
  <si>
    <t>L 100 x 65 x 9</t>
  </si>
  <si>
    <t>L 100 x 65 x 10</t>
  </si>
  <si>
    <t>L 100 x 65 x 12</t>
  </si>
  <si>
    <t>L 110 x 70 x 10</t>
  </si>
  <si>
    <t>L 110 x 70 x 12</t>
  </si>
  <si>
    <t>L 120 x 80 x 8</t>
  </si>
  <si>
    <t>L 120 x 80 x 10</t>
  </si>
  <si>
    <t>L 120 x 80 x 12</t>
  </si>
  <si>
    <t>L 125 x 75 x 8</t>
  </si>
  <si>
    <t>L 125 x 75 x 9</t>
  </si>
  <si>
    <t>L 125 x 75 x 10</t>
  </si>
  <si>
    <t>L 125 x 75 x 12</t>
  </si>
  <si>
    <t>L 130 x 90 x 10</t>
  </si>
  <si>
    <t>L 130 x 90 x 12</t>
  </si>
  <si>
    <t>L 130 x 90 x 14</t>
  </si>
  <si>
    <t>L 140 x 90 x 8</t>
  </si>
  <si>
    <t>L 140 x 90 x 10</t>
  </si>
  <si>
    <t>L 140 x 90 x 12</t>
  </si>
  <si>
    <t>L 140 x 90 x 14</t>
  </si>
  <si>
    <t>L 150 x 75 x 9</t>
  </si>
  <si>
    <t>L 150 x 75 x 10</t>
  </si>
  <si>
    <t>L 150 x 75 x 11</t>
  </si>
  <si>
    <t>L 150 x 75 x 12</t>
  </si>
  <si>
    <t>L 150 x 90 x 10</t>
  </si>
  <si>
    <t>L 150 x 90 x 11</t>
  </si>
  <si>
    <t>L 150 x 90 x 12</t>
  </si>
  <si>
    <t>L 150 x 90 x 15</t>
  </si>
  <si>
    <t>L 150 x 100 x 10</t>
  </si>
  <si>
    <t>L 150 x 100 x 12</t>
  </si>
  <si>
    <t>L 150 x 100 x 14</t>
  </si>
  <si>
    <t>L 200 x 100 x 10</t>
  </si>
  <si>
    <t>L 200 x 100 x 12</t>
  </si>
  <si>
    <t>L 200 x 100 x 14</t>
  </si>
  <si>
    <t>L 200 x 100 x 15</t>
  </si>
  <si>
    <r>
      <rPr>
        <sz val="11"/>
        <color rgb="FFEA4F00"/>
        <rFont val="Calibri"/>
        <family val="2"/>
        <scheme val="minor"/>
      </rPr>
      <t xml:space="preserve">Masse / Mass / Masse </t>
    </r>
    <r>
      <rPr>
        <sz val="11"/>
        <rFont val="Calibri"/>
        <family val="2"/>
        <scheme val="minor"/>
      </rPr>
      <t>kg/m</t>
    </r>
  </si>
  <si>
    <t>Épaisseur Thickness Dicke
a</t>
  </si>
  <si>
    <t>Largeur Width Breite
b</t>
  </si>
  <si>
    <t>a x a</t>
  </si>
  <si>
    <t>Bords arrondis
Rounded edges</t>
  </si>
  <si>
    <t>Bords pointus
Sharp edges</t>
  </si>
  <si>
    <t>kg/m</t>
  </si>
  <si>
    <t>30 x 30</t>
  </si>
  <si>
    <t>35 x 35</t>
  </si>
  <si>
    <t>45 x 45</t>
  </si>
  <si>
    <t>50 x 50</t>
  </si>
  <si>
    <t>55 x 55</t>
  </si>
  <si>
    <t>60 x 60</t>
  </si>
  <si>
    <t>65 x 65</t>
  </si>
  <si>
    <t>70 x 70</t>
  </si>
  <si>
    <t>80 x 80</t>
  </si>
  <si>
    <t>85 x 85</t>
  </si>
  <si>
    <t>90 x 90</t>
  </si>
  <si>
    <t>95 x 95</t>
  </si>
  <si>
    <t>100 x 100</t>
  </si>
  <si>
    <t>110 x 110</t>
  </si>
  <si>
    <t>120 x 120</t>
  </si>
  <si>
    <t>130 x 130</t>
  </si>
  <si>
    <t>140 x 140</t>
  </si>
  <si>
    <t>150 x 150</t>
  </si>
  <si>
    <t>160 x 160</t>
  </si>
  <si>
    <t>EN 10083: 2006</t>
  </si>
  <si>
    <t>EN 10084: 1998</t>
  </si>
  <si>
    <t>Désignation Designation</t>
  </si>
  <si>
    <t>Diamètre Diameter</t>
  </si>
  <si>
    <t>Surface
Area</t>
  </si>
  <si>
    <t>Nom</t>
  </si>
  <si>
    <t>[mm²]</t>
  </si>
  <si>
    <t>R 10</t>
  </si>
  <si>
    <t>R 12</t>
  </si>
  <si>
    <t>R 14</t>
  </si>
  <si>
    <t>R 16</t>
  </si>
  <si>
    <t>R 18</t>
  </si>
  <si>
    <t>R 20</t>
  </si>
  <si>
    <t>R 22</t>
  </si>
  <si>
    <t>R 22,25</t>
  </si>
  <si>
    <t>R 23,6</t>
  </si>
  <si>
    <t>R 24</t>
  </si>
  <si>
    <t>R 24,5</t>
  </si>
  <si>
    <t>R 25</t>
  </si>
  <si>
    <t>R 26</t>
  </si>
  <si>
    <t>R 26,7</t>
  </si>
  <si>
    <t>R 27</t>
  </si>
  <si>
    <t>R 28</t>
  </si>
  <si>
    <t>R 29</t>
  </si>
  <si>
    <t>R 29,5</t>
  </si>
  <si>
    <t>R 29,7</t>
  </si>
  <si>
    <t>R 30</t>
  </si>
  <si>
    <t>R 31</t>
  </si>
  <si>
    <t>R 32</t>
  </si>
  <si>
    <t>R 34</t>
  </si>
  <si>
    <t>R 34,4</t>
  </si>
  <si>
    <t>R 35</t>
  </si>
  <si>
    <t>R 35,7</t>
  </si>
  <si>
    <t>R 36</t>
  </si>
  <si>
    <t>R 37</t>
  </si>
  <si>
    <t>R 38</t>
  </si>
  <si>
    <t>R 39</t>
  </si>
  <si>
    <t>R 39,2</t>
  </si>
  <si>
    <t>R 40</t>
  </si>
  <si>
    <t>R 42</t>
  </si>
  <si>
    <t>R 44</t>
  </si>
  <si>
    <t>R 45</t>
  </si>
  <si>
    <t>R 46</t>
  </si>
  <si>
    <t>R 47</t>
  </si>
  <si>
    <t>R 48</t>
  </si>
  <si>
    <t>R 49,2</t>
  </si>
  <si>
    <t>R 50</t>
  </si>
  <si>
    <t>R 51</t>
  </si>
  <si>
    <t>R 52</t>
  </si>
  <si>
    <t>R 53</t>
  </si>
  <si>
    <t>R 54</t>
  </si>
  <si>
    <t>R 55</t>
  </si>
  <si>
    <t>R 55,8</t>
  </si>
  <si>
    <t>R 56</t>
  </si>
  <si>
    <t>R 57</t>
  </si>
  <si>
    <t>R 58</t>
  </si>
  <si>
    <t>R 59</t>
  </si>
  <si>
    <t>R 60</t>
  </si>
  <si>
    <t>R 62</t>
  </si>
  <si>
    <t>R 63</t>
  </si>
  <si>
    <t>R 65</t>
  </si>
  <si>
    <t>R 70</t>
  </si>
  <si>
    <t>R 75</t>
  </si>
  <si>
    <t>R 80</t>
  </si>
  <si>
    <t>R 85</t>
  </si>
  <si>
    <t>R 90</t>
  </si>
  <si>
    <t>R 95</t>
  </si>
  <si>
    <t>R 100</t>
  </si>
  <si>
    <t>R 105</t>
  </si>
  <si>
    <t>R 110</t>
  </si>
  <si>
    <t>R 120</t>
  </si>
  <si>
    <t>R 130</t>
  </si>
  <si>
    <r>
      <rPr>
        <sz val="11"/>
        <rFont val="Calibri"/>
        <family val="2"/>
        <scheme val="minor"/>
      </rPr>
      <t>G
kg/m</t>
    </r>
  </si>
  <si>
    <t>s = t</t>
  </si>
  <si>
    <t>Ix</t>
  </si>
  <si>
    <t>Ix/vx</t>
  </si>
  <si>
    <t>ix</t>
  </si>
  <si>
    <t>Iy</t>
  </si>
  <si>
    <t>Iy/vy</t>
  </si>
  <si>
    <t>T 30</t>
  </si>
  <si>
    <t>T 35</t>
  </si>
  <si>
    <t>T 40</t>
  </si>
  <si>
    <t>T 50</t>
  </si>
  <si>
    <t>T 60</t>
  </si>
  <si>
    <t>T 70</t>
  </si>
  <si>
    <t>T 80</t>
  </si>
  <si>
    <t>ACB - Poutrelles alvéolaires à ouvertures circulaires</t>
  </si>
  <si>
    <t>e</t>
  </si>
  <si>
    <t>Wel.y</t>
  </si>
  <si>
    <t>Wpl.y</t>
  </si>
  <si>
    <t>iy2</t>
  </si>
  <si>
    <t>Wel.z</t>
  </si>
  <si>
    <t>Wpl.z</t>
  </si>
  <si>
    <t>iz2</t>
  </si>
  <si>
    <t>It</t>
  </si>
  <si>
    <t>[kg/ml]</t>
  </si>
  <si>
    <t xml:space="preserve"> [mm]</t>
  </si>
  <si>
    <t>φ</t>
  </si>
  <si>
    <t xml:space="preserve"> (mm]</t>
  </si>
  <si>
    <t>unit</t>
  </si>
  <si>
    <t>pur bending y-y</t>
  </si>
  <si>
    <t>pur compression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</si>
</sst>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vertAlign val="superscript"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EA4F0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EDEBE2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rgb="FFD9D4C3"/>
      </left>
      <right/>
      <top style="thin">
        <color rgb="FFD9D4C3"/>
      </top>
      <bottom/>
      <diagonal/>
    </border>
    <border>
      <left/>
      <right/>
      <top style="thin">
        <color rgb="FFD9D4C3"/>
      </top>
      <bottom/>
      <diagonal/>
    </border>
    <border>
      <left/>
      <right style="thin">
        <color rgb="FFD9D4C3"/>
      </right>
      <top style="thin">
        <color rgb="FFD9D4C3"/>
      </top>
      <bottom/>
      <diagonal/>
    </border>
    <border>
      <left style="thin">
        <color rgb="FFD9D4C3"/>
      </left>
      <right/>
      <top/>
      <bottom/>
      <diagonal/>
    </border>
    <border>
      <left/>
      <right style="thin">
        <color rgb="FFD9D4C3"/>
      </right>
      <top/>
      <bottom/>
      <diagonal/>
    </border>
    <border>
      <left style="thin">
        <color rgb="FFD9D4C3"/>
      </left>
      <right/>
      <top/>
      <bottom style="thin">
        <color rgb="FFD9D4C3"/>
      </bottom>
      <diagonal/>
    </border>
    <border>
      <left/>
      <right/>
      <top/>
      <bottom style="thin">
        <color rgb="FFD9D4C3"/>
      </bottom>
      <diagonal/>
    </border>
    <border>
      <left/>
      <right style="thin">
        <color rgb="FFD9D4C3"/>
      </right>
      <top/>
      <bottom style="thin">
        <color rgb="FFD9D4C3"/>
      </bottom>
      <diagonal/>
    </border>
    <border>
      <left style="thin">
        <color rgb="FFD9D4C3"/>
      </left>
      <right/>
      <top style="thin">
        <color rgb="FFD9D4C3"/>
      </top>
      <bottom style="thin">
        <color rgb="FFD9D4C3"/>
      </bottom>
      <diagonal/>
    </border>
    <border>
      <left/>
      <right/>
      <top style="thin">
        <color rgb="FFD9D4C3"/>
      </top>
      <bottom style="thin">
        <color rgb="FFD9D4C3"/>
      </bottom>
      <diagonal/>
    </border>
    <border>
      <left/>
      <right style="thin">
        <color rgb="FFD9D4C3"/>
      </right>
      <top style="thin">
        <color rgb="FFD9D4C3"/>
      </top>
      <bottom style="thin">
        <color rgb="FFD9D4C3"/>
      </bottom>
      <diagonal/>
    </border>
    <border>
      <left style="thin">
        <color rgb="FFD9D4C3"/>
      </left>
      <right style="thin">
        <color rgb="FFD9D4C3"/>
      </right>
      <top style="thin">
        <color rgb="FFD9D4C3"/>
      </top>
      <bottom/>
      <diagonal/>
    </border>
    <border>
      <left style="thin">
        <color rgb="FFD9D4C3"/>
      </left>
      <right style="thin">
        <color rgb="FFD9D4C3"/>
      </right>
      <top/>
      <bottom/>
      <diagonal/>
    </border>
    <border>
      <left style="thin">
        <color rgb="FFD9D4C3"/>
      </left>
      <right style="thin">
        <color rgb="FFD9D4C3"/>
      </right>
      <top/>
      <bottom style="thin">
        <color rgb="FFD9D4C3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6" fillId="0" borderId="0"/>
  </cellStyleXfs>
  <cellXfs count="183">
    <xf numFmtId="0" fontId="0" fillId="0" borderId="0" xfId="0"/>
    <xf numFmtId="164" fontId="1" fillId="0" borderId="0" xfId="1" applyFont="1" applyAlignment="1">
      <alignment vertical="center"/>
    </xf>
    <xf numFmtId="164" fontId="5" fillId="3" borderId="1" xfId="1" applyFont="1" applyFill="1" applyBorder="1" applyAlignment="1">
      <alignment vertical="center" wrapText="1"/>
    </xf>
    <xf numFmtId="164" fontId="5" fillId="0" borderId="4" xfId="1" applyFont="1" applyFill="1" applyBorder="1" applyAlignment="1">
      <alignment vertical="center" wrapText="1"/>
    </xf>
    <xf numFmtId="164" fontId="5" fillId="3" borderId="4" xfId="1" applyFont="1" applyFill="1" applyBorder="1" applyAlignment="1">
      <alignment vertical="center" wrapText="1"/>
    </xf>
    <xf numFmtId="164" fontId="7" fillId="0" borderId="4" xfId="1" applyFont="1" applyFill="1" applyBorder="1" applyAlignment="1">
      <alignment vertical="center" wrapText="1"/>
    </xf>
    <xf numFmtId="164" fontId="5" fillId="3" borderId="0" xfId="1" applyFont="1" applyFill="1" applyBorder="1" applyAlignment="1">
      <alignment vertical="center" wrapText="1"/>
    </xf>
    <xf numFmtId="164" fontId="7" fillId="3" borderId="4" xfId="1" applyFont="1" applyFill="1" applyBorder="1" applyAlignment="1">
      <alignment vertical="center" wrapText="1"/>
    </xf>
    <xf numFmtId="164" fontId="7" fillId="3" borderId="2" xfId="1" applyFont="1" applyFill="1" applyBorder="1" applyAlignment="1">
      <alignment horizontal="center" vertical="center" shrinkToFit="1"/>
    </xf>
    <xf numFmtId="164" fontId="7" fillId="3" borderId="1" xfId="1" applyFont="1" applyFill="1" applyBorder="1" applyAlignment="1">
      <alignment horizontal="center" vertical="center" shrinkToFit="1"/>
    </xf>
    <xf numFmtId="164" fontId="5" fillId="3" borderId="2" xfId="1" applyFont="1" applyFill="1" applyBorder="1" applyAlignment="1">
      <alignment horizontal="center" vertical="center" wrapText="1"/>
    </xf>
    <xf numFmtId="164" fontId="8" fillId="0" borderId="0" xfId="1" applyFont="1" applyFill="1" applyBorder="1" applyAlignment="1">
      <alignment horizontal="center" vertical="center" shrinkToFit="1"/>
    </xf>
    <xf numFmtId="164" fontId="8" fillId="0" borderId="4" xfId="1" applyFont="1" applyFill="1" applyBorder="1" applyAlignment="1">
      <alignment horizontal="center" vertical="center" shrinkToFit="1"/>
    </xf>
    <xf numFmtId="164" fontId="5" fillId="0" borderId="0" xfId="1" applyFont="1" applyFill="1" applyBorder="1" applyAlignment="1">
      <alignment horizontal="center" vertical="center" wrapText="1"/>
    </xf>
    <xf numFmtId="164" fontId="7" fillId="3" borderId="0" xfId="1" applyFont="1" applyFill="1" applyBorder="1" applyAlignment="1">
      <alignment horizontal="center" vertical="center" shrinkToFit="1"/>
    </xf>
    <xf numFmtId="164" fontId="7" fillId="3" borderId="4" xfId="1" applyFont="1" applyFill="1" applyBorder="1" applyAlignment="1">
      <alignment horizontal="center" vertical="center" shrinkToFit="1"/>
    </xf>
    <xf numFmtId="164" fontId="5" fillId="3" borderId="0" xfId="1" applyFont="1" applyFill="1" applyBorder="1" applyAlignment="1">
      <alignment horizontal="center" vertical="center" wrapText="1"/>
    </xf>
    <xf numFmtId="164" fontId="8" fillId="0" borderId="7" xfId="1" applyFont="1" applyFill="1" applyBorder="1" applyAlignment="1">
      <alignment horizontal="center" vertical="center" shrinkToFit="1"/>
    </xf>
    <xf numFmtId="164" fontId="8" fillId="0" borderId="6" xfId="1" applyFont="1" applyFill="1" applyBorder="1" applyAlignment="1">
      <alignment horizontal="center" vertical="center" shrinkToFit="1"/>
    </xf>
    <xf numFmtId="164" fontId="5" fillId="0" borderId="7" xfId="1" applyFont="1" applyFill="1" applyBorder="1" applyAlignment="1">
      <alignment horizontal="center" vertical="center" wrapText="1"/>
    </xf>
    <xf numFmtId="164" fontId="8" fillId="0" borderId="4" xfId="1" applyFont="1" applyFill="1" applyBorder="1" applyAlignment="1">
      <alignment vertical="center" wrapText="1"/>
    </xf>
    <xf numFmtId="164" fontId="8" fillId="0" borderId="0" xfId="1" applyFont="1" applyFill="1" applyBorder="1" applyAlignment="1">
      <alignment vertical="center" wrapText="1"/>
    </xf>
    <xf numFmtId="164" fontId="8" fillId="0" borderId="6" xfId="1" applyFont="1" applyFill="1" applyBorder="1" applyAlignment="1">
      <alignment vertical="center" wrapText="1"/>
    </xf>
    <xf numFmtId="164" fontId="5" fillId="0" borderId="10" xfId="1" applyFont="1" applyFill="1" applyBorder="1" applyAlignment="1">
      <alignment vertical="top" wrapText="1"/>
    </xf>
    <xf numFmtId="164" fontId="7" fillId="0" borderId="2" xfId="1" applyFont="1" applyFill="1" applyBorder="1" applyAlignment="1">
      <alignment vertical="top" wrapText="1"/>
    </xf>
    <xf numFmtId="164" fontId="2" fillId="2" borderId="0" xfId="1" applyFont="1" applyFill="1" applyAlignment="1">
      <alignment horizontal="center" vertical="center"/>
    </xf>
    <xf numFmtId="164" fontId="7" fillId="3" borderId="1" xfId="1" applyFont="1" applyFill="1" applyBorder="1" applyAlignment="1">
      <alignment vertical="top" shrinkToFit="1"/>
    </xf>
    <xf numFmtId="164" fontId="7" fillId="3" borderId="2" xfId="1" applyFont="1" applyFill="1" applyBorder="1" applyAlignment="1">
      <alignment vertical="top" shrinkToFit="1"/>
    </xf>
    <xf numFmtId="164" fontId="5" fillId="3" borderId="2" xfId="1" applyFont="1" applyFill="1" applyBorder="1" applyAlignment="1">
      <alignment vertical="top" wrapText="1"/>
    </xf>
    <xf numFmtId="164" fontId="5" fillId="3" borderId="1" xfId="1" applyFont="1" applyFill="1" applyBorder="1" applyAlignment="1">
      <alignment vertical="top" wrapText="1"/>
    </xf>
    <xf numFmtId="164" fontId="8" fillId="0" borderId="4" xfId="1" applyFont="1" applyFill="1" applyBorder="1" applyAlignment="1">
      <alignment vertical="top" shrinkToFit="1"/>
    </xf>
    <xf numFmtId="164" fontId="8" fillId="0" borderId="0" xfId="1" applyFont="1" applyFill="1" applyBorder="1" applyAlignment="1">
      <alignment vertical="top" shrinkToFit="1"/>
    </xf>
    <xf numFmtId="164" fontId="5" fillId="0" borderId="0" xfId="1" applyFont="1" applyFill="1" applyBorder="1" applyAlignment="1">
      <alignment vertical="top" wrapText="1"/>
    </xf>
    <xf numFmtId="164" fontId="5" fillId="0" borderId="4" xfId="1" applyFont="1" applyFill="1" applyBorder="1" applyAlignment="1">
      <alignment vertical="top" wrapText="1"/>
    </xf>
    <xf numFmtId="164" fontId="7" fillId="0" borderId="4" xfId="1" applyFont="1" applyFill="1" applyBorder="1" applyAlignment="1">
      <alignment wrapText="1"/>
    </xf>
    <xf numFmtId="164" fontId="7" fillId="3" borderId="4" xfId="1" applyFont="1" applyFill="1" applyBorder="1" applyAlignment="1">
      <alignment vertical="top" shrinkToFit="1"/>
    </xf>
    <xf numFmtId="164" fontId="7" fillId="3" borderId="0" xfId="1" applyFont="1" applyFill="1" applyBorder="1" applyAlignment="1">
      <alignment vertical="top" shrinkToFit="1"/>
    </xf>
    <xf numFmtId="164" fontId="5" fillId="3" borderId="0" xfId="1" applyFont="1" applyFill="1" applyBorder="1" applyAlignment="1">
      <alignment vertical="top" wrapText="1"/>
    </xf>
    <xf numFmtId="164" fontId="7" fillId="0" borderId="0" xfId="1" applyFont="1" applyFill="1" applyBorder="1" applyAlignment="1">
      <alignment wrapText="1"/>
    </xf>
    <xf numFmtId="164" fontId="7" fillId="3" borderId="0" xfId="1" applyFont="1" applyFill="1" applyBorder="1" applyAlignment="1">
      <alignment wrapText="1"/>
    </xf>
    <xf numFmtId="164" fontId="5" fillId="3" borderId="4" xfId="1" applyFont="1" applyFill="1" applyBorder="1" applyAlignment="1">
      <alignment vertical="top" wrapText="1"/>
    </xf>
    <xf numFmtId="164" fontId="8" fillId="0" borderId="6" xfId="1" applyFont="1" applyFill="1" applyBorder="1" applyAlignment="1">
      <alignment vertical="top" shrinkToFit="1"/>
    </xf>
    <xf numFmtId="164" fontId="8" fillId="0" borderId="7" xfId="1" applyFont="1" applyFill="1" applyBorder="1" applyAlignment="1">
      <alignment vertical="top" shrinkToFit="1"/>
    </xf>
    <xf numFmtId="164" fontId="8" fillId="0" borderId="4" xfId="1" applyFont="1" applyFill="1" applyBorder="1" applyAlignment="1">
      <alignment vertical="top" wrapText="1"/>
    </xf>
    <xf numFmtId="164" fontId="8" fillId="0" borderId="6" xfId="1" applyFont="1" applyFill="1" applyBorder="1" applyAlignment="1">
      <alignment vertical="top" wrapText="1"/>
    </xf>
    <xf numFmtId="164" fontId="5" fillId="0" borderId="7" xfId="1" applyFont="1" applyFill="1" applyBorder="1" applyAlignment="1">
      <alignment vertical="top" wrapText="1"/>
    </xf>
    <xf numFmtId="164" fontId="5" fillId="0" borderId="6" xfId="1" applyFont="1" applyFill="1" applyBorder="1" applyAlignment="1">
      <alignment vertical="top" wrapText="1"/>
    </xf>
    <xf numFmtId="164" fontId="0" fillId="0" borderId="0" xfId="1" applyFont="1"/>
    <xf numFmtId="164" fontId="2" fillId="2" borderId="0" xfId="1" applyFont="1" applyFill="1" applyAlignment="1">
      <alignment horizontal="center" vertical="center" wrapText="1"/>
    </xf>
    <xf numFmtId="164" fontId="5" fillId="0" borderId="9" xfId="1" applyFont="1" applyFill="1" applyBorder="1" applyAlignment="1">
      <alignment textRotation="90" wrapText="1"/>
    </xf>
    <xf numFmtId="164" fontId="5" fillId="0" borderId="6" xfId="1" applyFont="1" applyFill="1" applyBorder="1" applyAlignment="1">
      <alignment textRotation="90" wrapText="1"/>
    </xf>
    <xf numFmtId="164" fontId="1" fillId="0" borderId="0" xfId="1" applyFont="1"/>
    <xf numFmtId="164" fontId="7" fillId="0" borderId="9" xfId="1" applyFont="1" applyFill="1" applyBorder="1" applyAlignment="1">
      <alignment vertical="top" wrapText="1"/>
    </xf>
    <xf numFmtId="164" fontId="7" fillId="0" borderId="10" xfId="1" applyFont="1" applyFill="1" applyBorder="1" applyAlignment="1">
      <alignment vertical="top" wrapText="1"/>
    </xf>
    <xf numFmtId="164" fontId="7" fillId="0" borderId="11" xfId="1" applyFont="1" applyFill="1" applyBorder="1" applyAlignment="1">
      <alignment vertical="top" wrapText="1"/>
    </xf>
    <xf numFmtId="164" fontId="5" fillId="0" borderId="12" xfId="1" applyFont="1" applyFill="1" applyBorder="1" applyAlignment="1">
      <alignment textRotation="90" wrapText="1"/>
    </xf>
    <xf numFmtId="164" fontId="7" fillId="0" borderId="0" xfId="1" applyFont="1" applyFill="1" applyBorder="1" applyAlignment="1">
      <alignment horizontal="left" vertical="top"/>
    </xf>
    <xf numFmtId="164" fontId="7" fillId="0" borderId="1" xfId="1" applyFont="1" applyFill="1" applyBorder="1" applyAlignment="1">
      <alignment vertical="top" wrapText="1"/>
    </xf>
    <xf numFmtId="164" fontId="5" fillId="0" borderId="13" xfId="1" applyFont="1" applyFill="1" applyBorder="1" applyAlignment="1">
      <alignment textRotation="90" wrapText="1"/>
    </xf>
    <xf numFmtId="164" fontId="7" fillId="0" borderId="6" xfId="1" applyFont="1" applyFill="1" applyBorder="1" applyAlignment="1">
      <alignment vertical="top" wrapText="1"/>
    </xf>
    <xf numFmtId="164" fontId="7" fillId="3" borderId="2" xfId="1" applyFont="1" applyFill="1" applyBorder="1" applyAlignment="1">
      <alignment vertical="center" wrapText="1"/>
    </xf>
    <xf numFmtId="164" fontId="7" fillId="0" borderId="0" xfId="1" applyFont="1" applyFill="1" applyBorder="1" applyAlignment="1">
      <alignment vertical="top" wrapText="1"/>
    </xf>
    <xf numFmtId="164" fontId="7" fillId="0" borderId="0" xfId="1" applyFont="1" applyFill="1" applyBorder="1" applyAlignment="1">
      <alignment vertical="center" wrapText="1"/>
    </xf>
    <xf numFmtId="164" fontId="7" fillId="3" borderId="0" xfId="1" applyFont="1" applyFill="1" applyBorder="1" applyAlignment="1">
      <alignment vertical="center" wrapText="1"/>
    </xf>
    <xf numFmtId="164" fontId="7" fillId="0" borderId="4" xfId="1" applyFont="1" applyFill="1" applyBorder="1" applyAlignment="1">
      <alignment vertical="top" shrinkToFit="1"/>
    </xf>
    <xf numFmtId="164" fontId="7" fillId="0" borderId="0" xfId="1" applyFont="1" applyFill="1" applyBorder="1" applyAlignment="1">
      <alignment vertical="top" shrinkToFit="1"/>
    </xf>
    <xf numFmtId="2" fontId="0" fillId="0" borderId="0" xfId="1" applyNumberFormat="1" applyFont="1"/>
    <xf numFmtId="164" fontId="9" fillId="0" borderId="0" xfId="1" applyFont="1"/>
    <xf numFmtId="164" fontId="7" fillId="3" borderId="2" xfId="1" applyFont="1" applyFill="1" applyBorder="1" applyAlignment="1">
      <alignment horizontal="center" vertical="top" shrinkToFit="1"/>
    </xf>
    <xf numFmtId="164" fontId="7" fillId="3" borderId="3" xfId="1" applyFont="1" applyFill="1" applyBorder="1" applyAlignment="1">
      <alignment horizontal="center" vertical="top" shrinkToFit="1"/>
    </xf>
    <xf numFmtId="164" fontId="8" fillId="0" borderId="0" xfId="1" applyFont="1" applyFill="1" applyBorder="1" applyAlignment="1">
      <alignment horizontal="center" vertical="top" shrinkToFit="1"/>
    </xf>
    <xf numFmtId="164" fontId="8" fillId="0" borderId="5" xfId="1" applyFont="1" applyFill="1" applyBorder="1" applyAlignment="1">
      <alignment horizontal="center" vertical="top" shrinkToFit="1"/>
    </xf>
    <xf numFmtId="164" fontId="7" fillId="3" borderId="0" xfId="1" applyFont="1" applyFill="1" applyBorder="1" applyAlignment="1">
      <alignment horizontal="center" vertical="top" shrinkToFit="1"/>
    </xf>
    <xf numFmtId="164" fontId="7" fillId="3" borderId="5" xfId="1" applyFont="1" applyFill="1" applyBorder="1" applyAlignment="1">
      <alignment horizontal="center" vertical="top" shrinkToFit="1"/>
    </xf>
    <xf numFmtId="164" fontId="7" fillId="0" borderId="5" xfId="1" applyFont="1" applyFill="1" applyBorder="1" applyAlignment="1">
      <alignment wrapText="1"/>
    </xf>
    <xf numFmtId="164" fontId="5" fillId="3" borderId="6" xfId="1" applyFont="1" applyFill="1" applyBorder="1" applyAlignment="1">
      <alignment vertical="top" wrapText="1"/>
    </xf>
    <xf numFmtId="164" fontId="7" fillId="3" borderId="7" xfId="1" applyFont="1" applyFill="1" applyBorder="1" applyAlignment="1">
      <alignment vertical="top" shrinkToFit="1"/>
    </xf>
    <xf numFmtId="164" fontId="7" fillId="3" borderId="6" xfId="1" applyFont="1" applyFill="1" applyBorder="1" applyAlignment="1">
      <alignment vertical="top" shrinkToFit="1"/>
    </xf>
    <xf numFmtId="164" fontId="5" fillId="3" borderId="7" xfId="1" applyFont="1" applyFill="1" applyBorder="1" applyAlignment="1">
      <alignment vertical="top" wrapText="1"/>
    </xf>
    <xf numFmtId="164" fontId="7" fillId="3" borderId="7" xfId="1" applyFont="1" applyFill="1" applyBorder="1" applyAlignment="1">
      <alignment horizontal="center" vertical="top" shrinkToFit="1"/>
    </xf>
    <xf numFmtId="164" fontId="7" fillId="3" borderId="8" xfId="1" applyFont="1" applyFill="1" applyBorder="1" applyAlignment="1">
      <alignment horizontal="center" vertical="top" shrinkToFit="1"/>
    </xf>
    <xf numFmtId="164" fontId="7" fillId="3" borderId="2" xfId="1" applyFont="1" applyFill="1" applyBorder="1" applyAlignment="1">
      <alignment horizontal="left" vertical="top" shrinkToFit="1"/>
    </xf>
    <xf numFmtId="164" fontId="7" fillId="3" borderId="3" xfId="1" applyFont="1" applyFill="1" applyBorder="1" applyAlignment="1">
      <alignment horizontal="left" vertical="top" shrinkToFit="1"/>
    </xf>
    <xf numFmtId="164" fontId="8" fillId="0" borderId="0" xfId="1" applyFont="1" applyFill="1" applyBorder="1" applyAlignment="1">
      <alignment horizontal="left" vertical="top" shrinkToFit="1"/>
    </xf>
    <xf numFmtId="164" fontId="8" fillId="0" borderId="5" xfId="1" applyFont="1" applyFill="1" applyBorder="1" applyAlignment="1">
      <alignment horizontal="left" vertical="top" shrinkToFit="1"/>
    </xf>
    <xf numFmtId="164" fontId="7" fillId="3" borderId="0" xfId="1" applyFont="1" applyFill="1" applyBorder="1" applyAlignment="1">
      <alignment horizontal="left" vertical="top" shrinkToFit="1"/>
    </xf>
    <xf numFmtId="164" fontId="7" fillId="3" borderId="5" xfId="1" applyFont="1" applyFill="1" applyBorder="1" applyAlignment="1">
      <alignment horizontal="left" vertical="top" shrinkToFit="1"/>
    </xf>
    <xf numFmtId="164" fontId="7" fillId="3" borderId="7" xfId="1" applyFont="1" applyFill="1" applyBorder="1" applyAlignment="1">
      <alignment horizontal="left" vertical="top" shrinkToFit="1"/>
    </xf>
    <xf numFmtId="164" fontId="7" fillId="3" borderId="8" xfId="1" applyFont="1" applyFill="1" applyBorder="1" applyAlignment="1">
      <alignment horizontal="left" vertical="top" shrinkToFit="1"/>
    </xf>
    <xf numFmtId="164" fontId="8" fillId="0" borderId="7" xfId="1" applyFont="1" applyFill="1" applyBorder="1" applyAlignment="1">
      <alignment horizontal="center" vertical="top" shrinkToFit="1"/>
    </xf>
    <xf numFmtId="164" fontId="8" fillId="0" borderId="8" xfId="1" applyFont="1" applyFill="1" applyBorder="1" applyAlignment="1">
      <alignment horizontal="left" vertical="top" shrinkToFit="1"/>
    </xf>
    <xf numFmtId="164" fontId="5" fillId="0" borderId="4" xfId="1" applyFont="1" applyFill="1" applyBorder="1" applyAlignment="1">
      <alignment horizontal="center" textRotation="90" wrapText="1"/>
    </xf>
    <xf numFmtId="164" fontId="1" fillId="0" borderId="0" xfId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4" fontId="5" fillId="0" borderId="0" xfId="1" applyFont="1" applyFill="1" applyBorder="1" applyAlignment="1">
      <alignment horizontal="center" textRotation="90" wrapText="1"/>
    </xf>
    <xf numFmtId="164" fontId="0" fillId="0" borderId="15" xfId="1" applyFont="1" applyBorder="1"/>
    <xf numFmtId="164" fontId="0" fillId="4" borderId="15" xfId="1" applyFont="1" applyFill="1" applyBorder="1"/>
    <xf numFmtId="164" fontId="0" fillId="4" borderId="15" xfId="1" applyFont="1" applyFill="1" applyBorder="1" applyAlignment="1">
      <alignment wrapText="1"/>
    </xf>
    <xf numFmtId="164" fontId="2" fillId="2" borderId="16" xfId="2" applyNumberFormat="1" applyBorder="1"/>
    <xf numFmtId="164" fontId="2" fillId="2" borderId="0" xfId="2" applyNumberFormat="1" applyBorder="1"/>
    <xf numFmtId="164" fontId="5" fillId="0" borderId="1" xfId="1" applyFont="1" applyFill="1" applyBorder="1" applyAlignment="1">
      <alignment textRotation="90" wrapText="1"/>
    </xf>
    <xf numFmtId="164" fontId="5" fillId="0" borderId="2" xfId="1" applyFont="1" applyFill="1" applyBorder="1" applyAlignment="1">
      <alignment textRotation="90" wrapText="1"/>
    </xf>
    <xf numFmtId="164" fontId="7" fillId="3" borderId="1" xfId="1" applyFont="1" applyFill="1" applyBorder="1" applyAlignment="1">
      <alignment horizontal="center" vertical="top" shrinkToFit="1"/>
    </xf>
    <xf numFmtId="164" fontId="8" fillId="0" borderId="4" xfId="1" applyFont="1" applyFill="1" applyBorder="1" applyAlignment="1">
      <alignment horizontal="center" vertical="top" shrinkToFit="1"/>
    </xf>
    <xf numFmtId="164" fontId="7" fillId="0" borderId="4" xfId="1" applyFont="1" applyFill="1" applyBorder="1" applyAlignment="1">
      <alignment vertical="top" wrapText="1"/>
    </xf>
    <xf numFmtId="164" fontId="7" fillId="3" borderId="4" xfId="1" applyFont="1" applyFill="1" applyBorder="1" applyAlignment="1">
      <alignment vertical="top" wrapText="1"/>
    </xf>
    <xf numFmtId="164" fontId="7" fillId="3" borderId="4" xfId="1" applyFont="1" applyFill="1" applyBorder="1" applyAlignment="1">
      <alignment horizontal="center" vertical="top" shrinkToFit="1"/>
    </xf>
    <xf numFmtId="164" fontId="5" fillId="0" borderId="13" xfId="1" applyFont="1" applyFill="1" applyBorder="1" applyAlignment="1">
      <alignment horizontal="left" vertical="top" wrapText="1"/>
    </xf>
    <xf numFmtId="164" fontId="5" fillId="3" borderId="13" xfId="1" applyFont="1" applyFill="1" applyBorder="1" applyAlignment="1">
      <alignment horizontal="left" vertical="top" wrapText="1"/>
    </xf>
    <xf numFmtId="164" fontId="7" fillId="3" borderId="6" xfId="1" applyFont="1" applyFill="1" applyBorder="1" applyAlignment="1">
      <alignment horizontal="center" vertical="top" shrinkToFit="1"/>
    </xf>
    <xf numFmtId="164" fontId="5" fillId="3" borderId="14" xfId="1" applyFont="1" applyFill="1" applyBorder="1" applyAlignment="1">
      <alignment horizontal="left" vertical="top" wrapText="1"/>
    </xf>
    <xf numFmtId="164" fontId="5" fillId="0" borderId="5" xfId="1" applyFont="1" applyFill="1" applyBorder="1" applyAlignment="1">
      <alignment vertical="top" wrapText="1"/>
    </xf>
    <xf numFmtId="164" fontId="5" fillId="3" borderId="5" xfId="1" applyFont="1" applyFill="1" applyBorder="1" applyAlignment="1">
      <alignment vertical="top" wrapText="1"/>
    </xf>
    <xf numFmtId="164" fontId="5" fillId="0" borderId="8" xfId="1" applyFont="1" applyFill="1" applyBorder="1" applyAlignment="1">
      <alignment vertical="top" wrapText="1"/>
    </xf>
    <xf numFmtId="164" fontId="8" fillId="0" borderId="8" xfId="1" applyFont="1" applyFill="1" applyBorder="1" applyAlignment="1">
      <alignment horizontal="center" vertical="top" shrinkToFit="1"/>
    </xf>
    <xf numFmtId="164" fontId="8" fillId="0" borderId="7" xfId="1" applyFont="1" applyFill="1" applyBorder="1" applyAlignment="1">
      <alignment horizontal="left" vertical="top" shrinkToFit="1"/>
    </xf>
    <xf numFmtId="164" fontId="7" fillId="0" borderId="7" xfId="1" applyFont="1" applyFill="1" applyBorder="1" applyAlignment="1">
      <alignment wrapText="1"/>
    </xf>
    <xf numFmtId="164" fontId="5" fillId="0" borderId="0" xfId="1" applyFont="1" applyFill="1" applyBorder="1" applyAlignment="1">
      <alignment textRotation="90" wrapText="1"/>
    </xf>
    <xf numFmtId="164" fontId="7" fillId="3" borderId="1" xfId="1" applyFont="1" applyFill="1" applyBorder="1" applyAlignment="1">
      <alignment vertical="top" wrapText="1"/>
    </xf>
    <xf numFmtId="164" fontId="7" fillId="3" borderId="7" xfId="1" applyFont="1" applyFill="1" applyBorder="1" applyAlignment="1">
      <alignment wrapText="1"/>
    </xf>
    <xf numFmtId="164" fontId="8" fillId="0" borderId="6" xfId="1" applyFont="1" applyFill="1" applyBorder="1" applyAlignment="1">
      <alignment horizontal="center" vertical="top" shrinkToFit="1"/>
    </xf>
    <xf numFmtId="164" fontId="5" fillId="0" borderId="1" xfId="1" applyFont="1" applyFill="1" applyBorder="1" applyAlignment="1">
      <alignment vertical="top" wrapText="1"/>
    </xf>
    <xf numFmtId="164" fontId="8" fillId="0" borderId="2" xfId="1" applyFont="1" applyFill="1" applyBorder="1" applyAlignment="1">
      <alignment vertical="top" shrinkToFit="1"/>
    </xf>
    <xf numFmtId="164" fontId="1" fillId="0" borderId="0" xfId="1" applyFont="1" applyAlignment="1"/>
    <xf numFmtId="164" fontId="5" fillId="0" borderId="9" xfId="1" applyFont="1" applyFill="1" applyBorder="1" applyAlignment="1">
      <alignment textRotation="90"/>
    </xf>
    <xf numFmtId="164" fontId="5" fillId="0" borderId="6" xfId="1" applyFont="1" applyFill="1" applyBorder="1" applyAlignment="1">
      <alignment textRotation="90"/>
    </xf>
    <xf numFmtId="164" fontId="5" fillId="2" borderId="0" xfId="1" applyFont="1" applyFill="1" applyAlignment="1">
      <alignment horizontal="center" vertical="center"/>
    </xf>
    <xf numFmtId="164" fontId="5" fillId="3" borderId="1" xfId="1" applyFont="1" applyFill="1" applyBorder="1" applyAlignment="1">
      <alignment vertical="top"/>
    </xf>
    <xf numFmtId="164" fontId="7" fillId="3" borderId="1" xfId="1" applyFont="1" applyFill="1" applyBorder="1" applyAlignment="1">
      <alignment horizontal="left" vertical="top" shrinkToFit="1"/>
    </xf>
    <xf numFmtId="164" fontId="8" fillId="0" borderId="4" xfId="1" applyFont="1" applyFill="1" applyBorder="1" applyAlignment="1">
      <alignment vertical="top"/>
    </xf>
    <xf numFmtId="164" fontId="8" fillId="0" borderId="4" xfId="1" applyFont="1" applyFill="1" applyBorder="1" applyAlignment="1">
      <alignment horizontal="left" vertical="top" shrinkToFit="1"/>
    </xf>
    <xf numFmtId="164" fontId="5" fillId="0" borderId="4" xfId="1" applyFont="1" applyFill="1" applyBorder="1" applyAlignment="1">
      <alignment vertical="top"/>
    </xf>
    <xf numFmtId="164" fontId="5" fillId="3" borderId="4" xfId="1" applyFont="1" applyFill="1" applyBorder="1" applyAlignment="1">
      <alignment vertical="top"/>
    </xf>
    <xf numFmtId="164" fontId="7" fillId="3" borderId="4" xfId="1" applyFont="1" applyFill="1" applyBorder="1" applyAlignment="1">
      <alignment horizontal="left" vertical="top" shrinkToFit="1"/>
    </xf>
    <xf numFmtId="164" fontId="7" fillId="0" borderId="4" xfId="1" applyFont="1" applyFill="1" applyBorder="1" applyAlignment="1">
      <alignment vertical="top"/>
    </xf>
    <xf numFmtId="164" fontId="7" fillId="0" borderId="0" xfId="1" applyFont="1" applyFill="1" applyBorder="1" applyAlignment="1"/>
    <xf numFmtId="164" fontId="7" fillId="3" borderId="0" xfId="1" applyFont="1" applyFill="1" applyBorder="1" applyAlignment="1"/>
    <xf numFmtId="164" fontId="7" fillId="3" borderId="4" xfId="1" applyFont="1" applyFill="1" applyBorder="1" applyAlignment="1">
      <alignment vertical="top"/>
    </xf>
    <xf numFmtId="164" fontId="8" fillId="0" borderId="6" xfId="1" applyFont="1" applyFill="1" applyBorder="1" applyAlignment="1">
      <alignment vertical="top"/>
    </xf>
    <xf numFmtId="164" fontId="8" fillId="0" borderId="6" xfId="1" applyFont="1" applyFill="1" applyBorder="1" applyAlignment="1">
      <alignment horizontal="left" vertical="top" shrinkToFit="1"/>
    </xf>
    <xf numFmtId="164" fontId="7" fillId="3" borderId="1" xfId="1" applyFont="1" applyFill="1" applyBorder="1" applyAlignment="1">
      <alignment vertical="top"/>
    </xf>
    <xf numFmtId="164" fontId="7" fillId="3" borderId="2" xfId="1" applyFont="1" applyFill="1" applyBorder="1" applyAlignment="1"/>
    <xf numFmtId="164" fontId="5" fillId="0" borderId="1" xfId="1" applyFont="1" applyFill="1" applyBorder="1" applyAlignment="1">
      <alignment vertical="top"/>
    </xf>
    <xf numFmtId="164" fontId="7" fillId="0" borderId="6" xfId="1" applyFont="1" applyFill="1" applyBorder="1" applyAlignment="1">
      <alignment vertical="top"/>
    </xf>
    <xf numFmtId="164" fontId="5" fillId="0" borderId="6" xfId="1" applyFont="1" applyFill="1" applyBorder="1" applyAlignment="1">
      <alignment vertical="top"/>
    </xf>
    <xf numFmtId="0" fontId="1" fillId="0" borderId="0" xfId="0" applyFont="1"/>
    <xf numFmtId="164" fontId="7" fillId="0" borderId="6" xfId="1" applyFont="1" applyFill="1" applyBorder="1" applyAlignment="1">
      <alignment vertical="top" shrinkToFit="1"/>
    </xf>
    <xf numFmtId="0" fontId="7" fillId="0" borderId="4" xfId="4" applyFont="1" applyBorder="1" applyAlignment="1">
      <alignment wrapText="1"/>
    </xf>
    <xf numFmtId="0" fontId="7" fillId="3" borderId="4" xfId="4" applyFont="1" applyFill="1" applyBorder="1" applyAlignment="1">
      <alignment wrapText="1"/>
    </xf>
    <xf numFmtId="164" fontId="5" fillId="0" borderId="9" xfId="1" applyFont="1" applyFill="1" applyBorder="1" applyAlignment="1">
      <alignment vertical="top" wrapText="1"/>
    </xf>
    <xf numFmtId="164" fontId="2" fillId="2" borderId="9" xfId="2" applyNumberFormat="1" applyBorder="1" applyAlignment="1">
      <alignment horizontal="center" vertical="top" wrapText="1"/>
    </xf>
    <xf numFmtId="164" fontId="8" fillId="0" borderId="6" xfId="1" applyFont="1" applyFill="1" applyBorder="1" applyAlignment="1">
      <alignment horizontal="center" vertical="center" wrapText="1"/>
    </xf>
    <xf numFmtId="164" fontId="8" fillId="0" borderId="0" xfId="1" applyFont="1" applyFill="1" applyBorder="1" applyAlignment="1">
      <alignment horizontal="center" vertical="center" wrapText="1"/>
    </xf>
    <xf numFmtId="164" fontId="8" fillId="0" borderId="7" xfId="1" applyFont="1" applyFill="1" applyBorder="1" applyAlignment="1">
      <alignment vertical="center"/>
    </xf>
    <xf numFmtId="164" fontId="2" fillId="2" borderId="0" xfId="2" applyNumberFormat="1" applyBorder="1" applyAlignment="1">
      <alignment horizontal="center" vertical="center" wrapText="1"/>
    </xf>
    <xf numFmtId="164" fontId="8" fillId="0" borderId="6" xfId="1" applyFont="1" applyFill="1" applyBorder="1" applyAlignment="1">
      <alignment horizontal="center" vertical="center"/>
    </xf>
    <xf numFmtId="164" fontId="2" fillId="2" borderId="0" xfId="2" applyNumberFormat="1" applyAlignment="1">
      <alignment horizontal="center"/>
    </xf>
    <xf numFmtId="164" fontId="2" fillId="2" borderId="0" xfId="1" applyFont="1" applyFill="1" applyBorder="1" applyAlignment="1">
      <alignment horizontal="center" vertical="center" wrapText="1"/>
    </xf>
    <xf numFmtId="164" fontId="5" fillId="0" borderId="14" xfId="1" applyFont="1" applyFill="1" applyBorder="1" applyAlignment="1">
      <alignment horizontal="center" textRotation="90" wrapText="1"/>
    </xf>
    <xf numFmtId="164" fontId="5" fillId="0" borderId="6" xfId="1" applyFont="1" applyFill="1" applyBorder="1" applyAlignment="1">
      <alignment horizontal="center" textRotation="90" wrapText="1"/>
    </xf>
    <xf numFmtId="164" fontId="5" fillId="0" borderId="7" xfId="1" applyFont="1" applyFill="1" applyBorder="1" applyAlignment="1">
      <alignment horizontal="center" textRotation="90" wrapText="1"/>
    </xf>
    <xf numFmtId="164" fontId="5" fillId="0" borderId="3" xfId="1" applyFont="1" applyFill="1" applyBorder="1" applyAlignment="1">
      <alignment textRotation="90" wrapText="1"/>
    </xf>
    <xf numFmtId="0" fontId="5" fillId="0" borderId="12" xfId="4" applyFont="1" applyBorder="1" applyAlignment="1">
      <alignment horizontal="left" textRotation="90" wrapText="1"/>
    </xf>
    <xf numFmtId="0" fontId="5" fillId="0" borderId="5" xfId="4" applyFont="1" applyBorder="1" applyAlignment="1">
      <alignment horizontal="left" textRotation="90" wrapText="1"/>
    </xf>
    <xf numFmtId="0" fontId="5" fillId="0" borderId="14" xfId="4" applyFont="1" applyBorder="1" applyAlignment="1">
      <alignment horizontal="left" textRotation="90" wrapText="1"/>
    </xf>
    <xf numFmtId="164" fontId="2" fillId="2" borderId="2" xfId="2" applyNumberFormat="1" applyBorder="1" applyAlignment="1">
      <alignment horizontal="center" vertical="center" textRotation="90" wrapText="1"/>
    </xf>
    <xf numFmtId="164" fontId="2" fillId="2" borderId="0" xfId="2" applyNumberFormat="1" applyBorder="1" applyAlignment="1">
      <alignment horizontal="center" vertical="center" textRotation="90" wrapText="1"/>
    </xf>
    <xf numFmtId="164" fontId="2" fillId="2" borderId="0" xfId="2" applyNumberFormat="1" applyBorder="1" applyAlignment="1">
      <alignment horizontal="center" vertical="center" wrapText="1"/>
    </xf>
    <xf numFmtId="164" fontId="2" fillId="2" borderId="0" xfId="2" applyNumberFormat="1" applyBorder="1" applyAlignment="1">
      <alignment horizontal="center" vertical="top" wrapText="1"/>
    </xf>
    <xf numFmtId="164" fontId="5" fillId="0" borderId="5" xfId="1" applyFont="1" applyFill="1" applyBorder="1" applyAlignment="1">
      <alignment horizontal="center" textRotation="90" wrapText="1"/>
    </xf>
    <xf numFmtId="164" fontId="5" fillId="0" borderId="12" xfId="1" applyFont="1" applyFill="1" applyBorder="1" applyAlignment="1">
      <alignment horizontal="center" textRotation="90" wrapText="1"/>
    </xf>
    <xf numFmtId="164" fontId="5" fillId="0" borderId="13" xfId="1" applyFont="1" applyFill="1" applyBorder="1" applyAlignment="1">
      <alignment horizontal="center" textRotation="90" wrapText="1"/>
    </xf>
    <xf numFmtId="164" fontId="5" fillId="0" borderId="8" xfId="1" applyFont="1" applyFill="1" applyBorder="1" applyAlignment="1">
      <alignment horizontal="center" textRotation="90" wrapText="1"/>
    </xf>
    <xf numFmtId="164" fontId="5" fillId="0" borderId="14" xfId="1" applyFont="1" applyFill="1" applyBorder="1" applyAlignment="1">
      <alignment horizontal="center" textRotation="90" wrapText="1"/>
    </xf>
    <xf numFmtId="164" fontId="5" fillId="0" borderId="1" xfId="1" applyFont="1" applyFill="1" applyBorder="1" applyAlignment="1">
      <alignment horizontal="center" textRotation="90" wrapText="1"/>
    </xf>
    <xf numFmtId="164" fontId="5" fillId="0" borderId="4" xfId="1" applyFont="1" applyFill="1" applyBorder="1" applyAlignment="1">
      <alignment horizontal="center" textRotation="90" wrapText="1"/>
    </xf>
    <xf numFmtId="164" fontId="5" fillId="0" borderId="6" xfId="1" applyFont="1" applyFill="1" applyBorder="1" applyAlignment="1">
      <alignment horizontal="center" textRotation="90" wrapText="1"/>
    </xf>
    <xf numFmtId="164" fontId="8" fillId="0" borderId="0" xfId="1" applyFont="1" applyFill="1" applyBorder="1" applyAlignment="1">
      <alignment horizontal="center" vertical="center" wrapText="1"/>
    </xf>
    <xf numFmtId="164" fontId="2" fillId="2" borderId="0" xfId="2" applyNumberFormat="1" applyBorder="1" applyAlignment="1">
      <alignment horizontal="center" vertical="center"/>
    </xf>
    <xf numFmtId="164" fontId="2" fillId="2" borderId="2" xfId="1" applyFont="1" applyFill="1" applyBorder="1" applyAlignment="1">
      <alignment horizontal="center" vertical="center" wrapText="1"/>
    </xf>
    <xf numFmtId="164" fontId="2" fillId="2" borderId="7" xfId="1" applyFont="1" applyFill="1" applyBorder="1" applyAlignment="1">
      <alignment horizontal="center" vertical="center" wrapText="1"/>
    </xf>
    <xf numFmtId="164" fontId="5" fillId="0" borderId="2" xfId="1" applyFont="1" applyFill="1" applyBorder="1" applyAlignment="1">
      <alignment horizontal="center" vertical="center" textRotation="90" wrapText="1"/>
    </xf>
    <xf numFmtId="164" fontId="5" fillId="0" borderId="7" xfId="1" applyFont="1" applyFill="1" applyBorder="1" applyAlignment="1">
      <alignment horizontal="center" vertical="center" textRotation="90" wrapText="1"/>
    </xf>
  </cellXfs>
  <cellStyles count="5">
    <cellStyle name="Accent1" xfId="2" builtinId="29"/>
    <cellStyle name="Milliers" xfId="1" builtinId="3"/>
    <cellStyle name="Normal" xfId="0" builtinId="0"/>
    <cellStyle name="Normal 2" xfId="3" xr:uid="{00000000-0005-0000-0000-000003000000}"/>
    <cellStyle name="Normal 3" xfId="4" xr:uid="{00000000-0005-0000-0000-000004000000}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_-* #,##0.00\ _€_-;\-* #,##0.00\ _€_-;_-* &quot;-&quot;??\ _€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447894</xdr:colOff>
      <xdr:row>7</xdr:row>
      <xdr:rowOff>619124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210518" cy="20383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1514474</xdr:colOff>
      <xdr:row>7</xdr:row>
      <xdr:rowOff>218760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81549" cy="1552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952499</xdr:colOff>
      <xdr:row>7</xdr:row>
      <xdr:rowOff>79385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05299" cy="14128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A1:O203" totalsRowShown="0" headerRowDxfId="33" dataDxfId="32" tableBorderDxfId="31" headerRowCellStyle="Accent1">
  <autoFilter ref="A1:O203" xr:uid="{00000000-0009-0000-0100-000002000000}"/>
  <tableColumns count="15">
    <tableColumn id="1" xr3:uid="{00000000-0010-0000-0000-000001000000}" name="Name" dataDxfId="30">
      <calculatedColumnFormula>"RHS "&amp;C2&amp;"x"&amp;D2&amp;"x"&amp;E2</calculatedColumnFormula>
    </tableColumn>
    <tableColumn id="2" xr3:uid="{00000000-0010-0000-0000-000002000000}" name="G" dataDxfId="29"/>
    <tableColumn id="3" xr3:uid="{00000000-0010-0000-0000-000003000000}" name="b" dataDxfId="28"/>
    <tableColumn id="4" xr3:uid="{00000000-0010-0000-0000-000004000000}" name="h" dataDxfId="27"/>
    <tableColumn id="5" xr3:uid="{00000000-0010-0000-0000-000005000000}" name="e" dataDxfId="26"/>
    <tableColumn id="6" xr3:uid="{00000000-0010-0000-0000-000006000000}" name="A" dataDxfId="25"/>
    <tableColumn id="7" xr3:uid="{00000000-0010-0000-0000-000007000000}" name="Iy" dataDxfId="24"/>
    <tableColumn id="8" xr3:uid="{00000000-0010-0000-0000-000008000000}" name="Wel.y" dataDxfId="23"/>
    <tableColumn id="9" xr3:uid="{00000000-0010-0000-0000-000009000000}" name="Wpl.y" dataDxfId="22"/>
    <tableColumn id="10" xr3:uid="{00000000-0010-0000-0000-00000A000000}" name="iy2" dataDxfId="21">
      <calculatedColumnFormula>SQRT(G2/F2)</calculatedColumnFormula>
    </tableColumn>
    <tableColumn id="11" xr3:uid="{00000000-0010-0000-0000-00000B000000}" name="Iz" dataDxfId="20"/>
    <tableColumn id="12" xr3:uid="{00000000-0010-0000-0000-00000C000000}" name="Wel.z" dataDxfId="19"/>
    <tableColumn id="13" xr3:uid="{00000000-0010-0000-0000-00000D000000}" name="Wpl.z" dataDxfId="18"/>
    <tableColumn id="14" xr3:uid="{00000000-0010-0000-0000-00000E000000}" name="iz2" dataDxfId="17">
      <calculatedColumnFormula>J2</calculatedColumnFormula>
    </tableColumn>
    <tableColumn id="15" xr3:uid="{00000000-0010-0000-0000-00000F000000}" name="It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rofile_Array" displayName="Profile_Array" ref="A1:N83" totalsRowShown="0" headerRowDxfId="15" dataDxfId="14">
  <autoFilter ref="A1:N83" xr:uid="{00000000-0009-0000-0100-000001000000}"/>
  <tableColumns count="14">
    <tableColumn id="1" xr3:uid="{00000000-0010-0000-0100-000001000000}" name="Name" dataDxfId="13">
      <calculatedColumnFormula>"SHS "&amp;C2&amp;"x"&amp;#REF!&amp;"x"&amp;D2</calculatedColumnFormula>
    </tableColumn>
    <tableColumn id="2" xr3:uid="{00000000-0010-0000-0100-000002000000}" name="G" dataDxfId="12"/>
    <tableColumn id="3" xr3:uid="{00000000-0010-0000-0100-000003000000}" name="φ" dataDxfId="11"/>
    <tableColumn id="5" xr3:uid="{00000000-0010-0000-0100-000005000000}" name="e" dataDxfId="10"/>
    <tableColumn id="7" xr3:uid="{00000000-0010-0000-0100-000007000000}" name="A" dataDxfId="9"/>
    <tableColumn id="8" xr3:uid="{00000000-0010-0000-0100-000008000000}" name="Iy" dataDxfId="8"/>
    <tableColumn id="9" xr3:uid="{00000000-0010-0000-0100-000009000000}" name="Wel.y" dataDxfId="7"/>
    <tableColumn id="10" xr3:uid="{00000000-0010-0000-0100-00000A000000}" name="Wpl.y" dataDxfId="6"/>
    <tableColumn id="11" xr3:uid="{00000000-0010-0000-0100-00000B000000}" name="iy2" dataDxfId="5">
      <calculatedColumnFormula>SQRT(F2/E2)</calculatedColumnFormula>
    </tableColumn>
    <tableColumn id="12" xr3:uid="{00000000-0010-0000-0100-00000C000000}" name="Iz" dataDxfId="4">
      <calculatedColumnFormula>F2</calculatedColumnFormula>
    </tableColumn>
    <tableColumn id="13" xr3:uid="{00000000-0010-0000-0100-00000D000000}" name="Wel.z" dataDxfId="3">
      <calculatedColumnFormula>G2</calculatedColumnFormula>
    </tableColumn>
    <tableColumn id="14" xr3:uid="{00000000-0010-0000-0100-00000E000000}" name="Wpl.z" dataDxfId="2">
      <calculatedColumnFormula>H2</calculatedColumnFormula>
    </tableColumn>
    <tableColumn id="15" xr3:uid="{00000000-0010-0000-0100-00000F000000}" name="iz2" dataDxfId="1">
      <calculatedColumnFormula>I2</calculatedColumnFormula>
    </tableColumn>
    <tableColumn id="16" xr3:uid="{00000000-0010-0000-0100-000010000000}" name="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AG64"/>
  <sheetViews>
    <sheetView zoomScale="70" zoomScaleNormal="70" workbookViewId="0">
      <pane xSplit="1" ySplit="2" topLeftCell="R3" activePane="bottomRight" state="frozen"/>
      <selection pane="topRight" activeCell="D1" sqref="D1"/>
      <selection pane="bottomLeft" activeCell="A13" sqref="A13"/>
      <selection pane="bottomRight" activeCell="AG2" sqref="AB2:AG2"/>
    </sheetView>
  </sheetViews>
  <sheetFormatPr baseColWidth="10" defaultColWidth="9.1328125" defaultRowHeight="14.25" x14ac:dyDescent="0.45"/>
  <cols>
    <col min="1" max="1" width="14.73046875" style="1" bestFit="1" customWidth="1"/>
    <col min="2" max="2" width="10.86328125" style="92" bestFit="1" customWidth="1"/>
    <col min="3" max="4" width="11.265625" style="92" bestFit="1" customWidth="1"/>
    <col min="5" max="5" width="9.3984375" style="92" bestFit="1" customWidth="1"/>
    <col min="6" max="7" width="10" style="92" bestFit="1" customWidth="1"/>
    <col min="8" max="8" width="16.73046875" style="92" bestFit="1" customWidth="1"/>
    <col min="9" max="10" width="11.265625" style="92" bestFit="1" customWidth="1"/>
    <col min="11" max="11" width="7.3984375" style="92" bestFit="1" customWidth="1"/>
    <col min="12" max="12" width="11.265625" style="92" bestFit="1" customWidth="1"/>
    <col min="13" max="13" width="11.86328125" style="92" bestFit="1" customWidth="1"/>
    <col min="14" max="15" width="10" style="92" bestFit="1" customWidth="1"/>
    <col min="16" max="16" width="22.265625" style="1" bestFit="1" customWidth="1"/>
    <col min="17" max="18" width="17.59765625" style="1" bestFit="1" customWidth="1"/>
    <col min="19" max="19" width="11.265625" style="1" bestFit="1" customWidth="1"/>
    <col min="20" max="20" width="13.86328125" style="1" bestFit="1" customWidth="1"/>
    <col min="21" max="21" width="18.86328125" style="1" bestFit="1" customWidth="1"/>
    <col min="22" max="23" width="15.73046875" style="1" bestFit="1" customWidth="1"/>
    <col min="24" max="25" width="10" style="1" bestFit="1" customWidth="1"/>
    <col min="26" max="26" width="17.59765625" style="1" bestFit="1" customWidth="1"/>
    <col min="27" max="27" width="26.86328125" style="1" bestFit="1" customWidth="1"/>
    <col min="28" max="33" width="15.73046875" style="1" bestFit="1" customWidth="1"/>
    <col min="34" max="16384" width="9.1328125" style="1"/>
  </cols>
  <sheetData>
    <row r="1" spans="1:33" s="92" customFormat="1" ht="15.75" x14ac:dyDescent="0.45">
      <c r="A1" s="25" t="s">
        <v>1</v>
      </c>
      <c r="B1" s="25" t="s">
        <v>2</v>
      </c>
      <c r="C1" s="25" t="s">
        <v>3</v>
      </c>
      <c r="D1" s="25" t="s">
        <v>4</v>
      </c>
      <c r="E1" s="25" t="s">
        <v>5</v>
      </c>
      <c r="F1" s="25" t="s">
        <v>6</v>
      </c>
      <c r="G1" s="25" t="s">
        <v>7</v>
      </c>
      <c r="H1" s="25" t="s">
        <v>8</v>
      </c>
      <c r="I1" s="25" t="s">
        <v>9</v>
      </c>
      <c r="J1" s="25" t="s">
        <v>10</v>
      </c>
      <c r="K1" s="25" t="s">
        <v>11</v>
      </c>
      <c r="L1" s="25" t="s">
        <v>12</v>
      </c>
      <c r="M1" s="25" t="s">
        <v>13</v>
      </c>
      <c r="N1" s="25" t="s">
        <v>14</v>
      </c>
      <c r="O1" s="25" t="s">
        <v>15</v>
      </c>
      <c r="P1" s="25" t="s">
        <v>16</v>
      </c>
      <c r="Q1" s="25" t="s">
        <v>17</v>
      </c>
      <c r="R1" s="25" t="s">
        <v>18</v>
      </c>
      <c r="S1" s="25" t="s">
        <v>19</v>
      </c>
      <c r="T1" s="25" t="s">
        <v>20</v>
      </c>
      <c r="U1" s="25" t="s">
        <v>21</v>
      </c>
      <c r="V1" s="25" t="s">
        <v>22</v>
      </c>
      <c r="W1" s="25" t="s">
        <v>23</v>
      </c>
      <c r="X1" s="25" t="s">
        <v>24</v>
      </c>
      <c r="Y1" s="25" t="s">
        <v>25</v>
      </c>
      <c r="Z1" s="25" t="s">
        <v>26</v>
      </c>
      <c r="AA1" s="25" t="s">
        <v>27</v>
      </c>
      <c r="AB1" s="100" t="s">
        <v>28</v>
      </c>
      <c r="AC1" s="101" t="s">
        <v>29</v>
      </c>
      <c r="AD1" s="161" t="s">
        <v>30</v>
      </c>
      <c r="AE1" s="100" t="s">
        <v>28</v>
      </c>
      <c r="AF1" s="101" t="s">
        <v>29</v>
      </c>
      <c r="AG1" s="161" t="s">
        <v>30</v>
      </c>
    </row>
    <row r="2" spans="1:33" s="92" customFormat="1" ht="21.75" x14ac:dyDescent="0.45">
      <c r="A2" s="25" t="s">
        <v>731</v>
      </c>
      <c r="B2" s="25" t="s">
        <v>31</v>
      </c>
      <c r="C2" s="25" t="s">
        <v>32</v>
      </c>
      <c r="D2" s="25" t="s">
        <v>32</v>
      </c>
      <c r="E2" s="25" t="s">
        <v>32</v>
      </c>
      <c r="F2" s="25" t="s">
        <v>32</v>
      </c>
      <c r="G2" s="25" t="s">
        <v>32</v>
      </c>
      <c r="H2" s="25" t="s">
        <v>33</v>
      </c>
      <c r="I2" s="25" t="s">
        <v>32</v>
      </c>
      <c r="J2" s="25" t="s">
        <v>32</v>
      </c>
      <c r="K2" s="25" t="s">
        <v>34</v>
      </c>
      <c r="L2" s="25" t="s">
        <v>32</v>
      </c>
      <c r="M2" s="25" t="s">
        <v>32</v>
      </c>
      <c r="N2" s="25" t="s">
        <v>35</v>
      </c>
      <c r="O2" s="25" t="s">
        <v>36</v>
      </c>
      <c r="P2" s="25" t="s">
        <v>37</v>
      </c>
      <c r="Q2" s="25" t="s">
        <v>38</v>
      </c>
      <c r="R2" s="25" t="s">
        <v>38</v>
      </c>
      <c r="S2" s="25" t="s">
        <v>32</v>
      </c>
      <c r="T2" s="25" t="s">
        <v>33</v>
      </c>
      <c r="U2" s="25" t="s">
        <v>37</v>
      </c>
      <c r="V2" s="25" t="s">
        <v>38</v>
      </c>
      <c r="W2" s="25" t="s">
        <v>38</v>
      </c>
      <c r="X2" s="25" t="s">
        <v>32</v>
      </c>
      <c r="Y2" s="25" t="s">
        <v>32</v>
      </c>
      <c r="Z2" s="25" t="s">
        <v>37</v>
      </c>
      <c r="AA2" s="25" t="s">
        <v>39</v>
      </c>
      <c r="AB2" s="50" t="s">
        <v>732</v>
      </c>
      <c r="AC2" s="50" t="s">
        <v>732</v>
      </c>
      <c r="AD2" s="50" t="s">
        <v>732</v>
      </c>
      <c r="AE2" s="50" t="s">
        <v>733</v>
      </c>
      <c r="AF2" s="50" t="s">
        <v>733</v>
      </c>
      <c r="AG2" s="50" t="s">
        <v>733</v>
      </c>
    </row>
    <row r="3" spans="1:33" x14ac:dyDescent="0.45">
      <c r="A3" s="2" t="s">
        <v>40</v>
      </c>
      <c r="B3" s="8">
        <v>4.9000000000000004</v>
      </c>
      <c r="C3" s="8">
        <v>78</v>
      </c>
      <c r="D3" s="8">
        <v>46</v>
      </c>
      <c r="E3" s="8">
        <v>3.2</v>
      </c>
      <c r="F3" s="8">
        <v>4.2</v>
      </c>
      <c r="G3" s="8">
        <v>5</v>
      </c>
      <c r="H3" s="8">
        <v>631</v>
      </c>
      <c r="I3" s="8">
        <v>69.599999999999994</v>
      </c>
      <c r="J3" s="8">
        <v>59.6</v>
      </c>
      <c r="K3" s="10">
        <v>0</v>
      </c>
      <c r="L3" s="10">
        <v>0</v>
      </c>
      <c r="M3" s="10">
        <v>0</v>
      </c>
      <c r="N3" s="9">
        <v>0.32500000000000001</v>
      </c>
      <c r="O3" s="8">
        <v>65.62</v>
      </c>
      <c r="P3" s="26">
        <v>641000</v>
      </c>
      <c r="Q3" s="27">
        <v>16400</v>
      </c>
      <c r="R3" s="27">
        <v>18900</v>
      </c>
      <c r="S3" s="27">
        <v>31.9</v>
      </c>
      <c r="T3" s="27">
        <v>300</v>
      </c>
      <c r="U3" s="26">
        <v>68500</v>
      </c>
      <c r="V3" s="27">
        <v>2980</v>
      </c>
      <c r="W3" s="27">
        <v>4700</v>
      </c>
      <c r="X3" s="27">
        <v>10.4</v>
      </c>
      <c r="Y3" s="26">
        <v>17.5</v>
      </c>
      <c r="Z3" s="27">
        <v>4000</v>
      </c>
      <c r="AA3" s="27">
        <v>90000000</v>
      </c>
      <c r="AB3" s="26">
        <v>1</v>
      </c>
      <c r="AC3" s="27">
        <v>1</v>
      </c>
      <c r="AD3" s="28" t="s">
        <v>34</v>
      </c>
      <c r="AE3" s="26">
        <v>1</v>
      </c>
      <c r="AF3" s="27">
        <v>1</v>
      </c>
      <c r="AG3" s="28" t="s">
        <v>34</v>
      </c>
    </row>
    <row r="4" spans="1:33" x14ac:dyDescent="0.45">
      <c r="A4" s="20" t="s">
        <v>42</v>
      </c>
      <c r="B4" s="11">
        <v>5</v>
      </c>
      <c r="C4" s="12">
        <v>78</v>
      </c>
      <c r="D4" s="11">
        <v>46</v>
      </c>
      <c r="E4" s="11">
        <v>3.3</v>
      </c>
      <c r="F4" s="11">
        <v>4.2</v>
      </c>
      <c r="G4" s="11">
        <v>5</v>
      </c>
      <c r="H4" s="12">
        <v>638</v>
      </c>
      <c r="I4" s="12">
        <v>69.599999999999994</v>
      </c>
      <c r="J4" s="11">
        <v>59.6</v>
      </c>
      <c r="K4" s="13">
        <v>0</v>
      </c>
      <c r="L4" s="13">
        <v>0</v>
      </c>
      <c r="M4" s="13">
        <v>0</v>
      </c>
      <c r="N4" s="12">
        <v>0.32500000000000001</v>
      </c>
      <c r="O4" s="11">
        <v>64.900000000000006</v>
      </c>
      <c r="P4" s="30">
        <v>644000</v>
      </c>
      <c r="Q4" s="31">
        <v>16500</v>
      </c>
      <c r="R4" s="31">
        <v>19000</v>
      </c>
      <c r="S4" s="31">
        <v>31.8</v>
      </c>
      <c r="T4" s="31">
        <v>307</v>
      </c>
      <c r="U4" s="30">
        <v>68500</v>
      </c>
      <c r="V4" s="31">
        <v>2980</v>
      </c>
      <c r="W4" s="31">
        <v>4700</v>
      </c>
      <c r="X4" s="31">
        <v>10.4</v>
      </c>
      <c r="Y4" s="30">
        <v>17.600000000000001</v>
      </c>
      <c r="Z4" s="31">
        <v>4200</v>
      </c>
      <c r="AA4" s="31">
        <v>90000000</v>
      </c>
      <c r="AB4" s="30">
        <v>1</v>
      </c>
      <c r="AC4" s="31">
        <v>1</v>
      </c>
      <c r="AD4" s="32" t="s">
        <v>43</v>
      </c>
      <c r="AE4" s="30">
        <v>1</v>
      </c>
      <c r="AF4" s="31">
        <v>1</v>
      </c>
      <c r="AG4" s="32" t="s">
        <v>43</v>
      </c>
    </row>
    <row r="5" spans="1:33" x14ac:dyDescent="0.45">
      <c r="A5" s="4" t="s">
        <v>44</v>
      </c>
      <c r="B5" s="14">
        <v>6</v>
      </c>
      <c r="C5" s="15">
        <v>80</v>
      </c>
      <c r="D5" s="14">
        <v>46</v>
      </c>
      <c r="E5" s="14">
        <v>3.8</v>
      </c>
      <c r="F5" s="14">
        <v>5.2</v>
      </c>
      <c r="G5" s="14">
        <v>5</v>
      </c>
      <c r="H5" s="15">
        <v>764</v>
      </c>
      <c r="I5" s="15">
        <v>69.599999999999994</v>
      </c>
      <c r="J5" s="14">
        <v>59.6</v>
      </c>
      <c r="K5" s="10">
        <v>0</v>
      </c>
      <c r="L5" s="10">
        <v>0</v>
      </c>
      <c r="M5" s="10">
        <v>0</v>
      </c>
      <c r="N5" s="15">
        <v>0.32800000000000001</v>
      </c>
      <c r="O5" s="14">
        <v>54.64</v>
      </c>
      <c r="P5" s="35">
        <v>801000</v>
      </c>
      <c r="Q5" s="36">
        <v>20000</v>
      </c>
      <c r="R5" s="36">
        <v>23200</v>
      </c>
      <c r="S5" s="36">
        <v>32.400000000000006</v>
      </c>
      <c r="T5" s="36">
        <v>358</v>
      </c>
      <c r="U5" s="35">
        <v>84900</v>
      </c>
      <c r="V5" s="36">
        <v>3690</v>
      </c>
      <c r="W5" s="36">
        <v>5800</v>
      </c>
      <c r="X5" s="36">
        <v>10.5</v>
      </c>
      <c r="Y5" s="35">
        <v>20.100000000000001</v>
      </c>
      <c r="Z5" s="36">
        <v>7000</v>
      </c>
      <c r="AA5" s="36">
        <v>120000000</v>
      </c>
      <c r="AB5" s="35">
        <v>1</v>
      </c>
      <c r="AC5" s="36">
        <v>1</v>
      </c>
      <c r="AD5" s="37" t="s">
        <v>34</v>
      </c>
      <c r="AE5" s="35">
        <v>1</v>
      </c>
      <c r="AF5" s="36">
        <v>1</v>
      </c>
      <c r="AG5" s="37" t="s">
        <v>34</v>
      </c>
    </row>
    <row r="6" spans="1:33" x14ac:dyDescent="0.45">
      <c r="A6" s="4" t="s">
        <v>45</v>
      </c>
      <c r="B6" s="14">
        <v>6.7</v>
      </c>
      <c r="C6" s="15">
        <v>97.6</v>
      </c>
      <c r="D6" s="14">
        <v>55</v>
      </c>
      <c r="E6" s="14">
        <v>3.6</v>
      </c>
      <c r="F6" s="14">
        <v>4.5</v>
      </c>
      <c r="G6" s="14">
        <v>7</v>
      </c>
      <c r="H6" s="15">
        <v>856</v>
      </c>
      <c r="I6" s="15">
        <v>88.6</v>
      </c>
      <c r="J6" s="14">
        <v>74.599999999999994</v>
      </c>
      <c r="K6" s="10">
        <v>0</v>
      </c>
      <c r="L6" s="10">
        <v>0</v>
      </c>
      <c r="M6" s="10">
        <v>0</v>
      </c>
      <c r="N6" s="15">
        <v>0.39600000000000002</v>
      </c>
      <c r="O6" s="14">
        <v>58.93</v>
      </c>
      <c r="P6" s="35">
        <v>1360000</v>
      </c>
      <c r="Q6" s="36">
        <v>27900</v>
      </c>
      <c r="R6" s="36">
        <v>31900</v>
      </c>
      <c r="S6" s="36">
        <v>39.799999999999997</v>
      </c>
      <c r="T6" s="36">
        <v>440.00000000000006</v>
      </c>
      <c r="U6" s="35">
        <v>126000</v>
      </c>
      <c r="V6" s="36">
        <v>4570</v>
      </c>
      <c r="W6" s="36">
        <v>7200</v>
      </c>
      <c r="X6" s="36">
        <v>12.1</v>
      </c>
      <c r="Y6" s="35">
        <v>20.8</v>
      </c>
      <c r="Z6" s="36">
        <v>7300</v>
      </c>
      <c r="AA6" s="36">
        <v>270000000</v>
      </c>
      <c r="AB6" s="35">
        <v>1</v>
      </c>
      <c r="AC6" s="36">
        <v>1</v>
      </c>
      <c r="AD6" s="37" t="s">
        <v>34</v>
      </c>
      <c r="AE6" s="35">
        <v>1</v>
      </c>
      <c r="AF6" s="36">
        <v>1</v>
      </c>
      <c r="AG6" s="37" t="s">
        <v>34</v>
      </c>
    </row>
    <row r="7" spans="1:33" x14ac:dyDescent="0.45">
      <c r="A7" s="20" t="s">
        <v>46</v>
      </c>
      <c r="B7" s="11">
        <v>6.9</v>
      </c>
      <c r="C7" s="12">
        <v>98</v>
      </c>
      <c r="D7" s="11">
        <v>55</v>
      </c>
      <c r="E7" s="11">
        <v>3.6</v>
      </c>
      <c r="F7" s="11">
        <v>4.7</v>
      </c>
      <c r="G7" s="11">
        <v>7</v>
      </c>
      <c r="H7" s="12">
        <v>880.00000000000011</v>
      </c>
      <c r="I7" s="12">
        <v>88.6</v>
      </c>
      <c r="J7" s="11">
        <v>74.599999999999994</v>
      </c>
      <c r="K7" s="13">
        <v>0</v>
      </c>
      <c r="L7" s="13">
        <v>0</v>
      </c>
      <c r="M7" s="13">
        <v>0</v>
      </c>
      <c r="N7" s="12">
        <v>0.39700000000000002</v>
      </c>
      <c r="O7" s="11">
        <v>57.57</v>
      </c>
      <c r="P7" s="30">
        <v>1410000</v>
      </c>
      <c r="Q7" s="31">
        <v>28800</v>
      </c>
      <c r="R7" s="31">
        <v>33000</v>
      </c>
      <c r="S7" s="31">
        <v>40.099999999999994</v>
      </c>
      <c r="T7" s="31">
        <v>444.00000000000006</v>
      </c>
      <c r="U7" s="30">
        <v>131000</v>
      </c>
      <c r="V7" s="31">
        <v>4770</v>
      </c>
      <c r="W7" s="31">
        <v>7500</v>
      </c>
      <c r="X7" s="31">
        <v>12.2</v>
      </c>
      <c r="Y7" s="30">
        <v>21.2</v>
      </c>
      <c r="Z7" s="31">
        <v>7700</v>
      </c>
      <c r="AA7" s="31">
        <v>280000000</v>
      </c>
      <c r="AB7" s="30">
        <v>1</v>
      </c>
      <c r="AC7" s="31">
        <v>1</v>
      </c>
      <c r="AD7" s="32" t="s">
        <v>43</v>
      </c>
      <c r="AE7" s="30">
        <v>1</v>
      </c>
      <c r="AF7" s="31">
        <v>1</v>
      </c>
      <c r="AG7" s="32" t="s">
        <v>43</v>
      </c>
    </row>
    <row r="8" spans="1:33" x14ac:dyDescent="0.45">
      <c r="A8" s="4" t="s">
        <v>47</v>
      </c>
      <c r="B8" s="14">
        <v>8.1</v>
      </c>
      <c r="C8" s="15">
        <v>100</v>
      </c>
      <c r="D8" s="14">
        <v>55</v>
      </c>
      <c r="E8" s="14">
        <v>4.0999999999999996</v>
      </c>
      <c r="F8" s="14">
        <v>5.7</v>
      </c>
      <c r="G8" s="14">
        <v>7</v>
      </c>
      <c r="H8" s="15">
        <v>1030</v>
      </c>
      <c r="I8" s="15">
        <v>88.6</v>
      </c>
      <c r="J8" s="14">
        <v>74.599999999999994</v>
      </c>
      <c r="K8" s="10">
        <v>0</v>
      </c>
      <c r="L8" s="10">
        <v>0</v>
      </c>
      <c r="M8" s="10">
        <v>0</v>
      </c>
      <c r="N8" s="15">
        <v>0.4</v>
      </c>
      <c r="O8" s="14">
        <v>49.33</v>
      </c>
      <c r="P8" s="35">
        <v>1710000</v>
      </c>
      <c r="Q8" s="36">
        <v>34200</v>
      </c>
      <c r="R8" s="36">
        <v>39400</v>
      </c>
      <c r="S8" s="36">
        <v>40.700000000000003</v>
      </c>
      <c r="T8" s="36">
        <v>508</v>
      </c>
      <c r="U8" s="35">
        <v>159000</v>
      </c>
      <c r="V8" s="36">
        <v>5790</v>
      </c>
      <c r="W8" s="36">
        <v>9200</v>
      </c>
      <c r="X8" s="36">
        <v>12.4</v>
      </c>
      <c r="Y8" s="35">
        <v>23.7</v>
      </c>
      <c r="Z8" s="36">
        <v>12000</v>
      </c>
      <c r="AA8" s="36">
        <v>350000000</v>
      </c>
      <c r="AB8" s="35">
        <v>1</v>
      </c>
      <c r="AC8" s="36">
        <v>1</v>
      </c>
      <c r="AD8" s="37" t="s">
        <v>34</v>
      </c>
      <c r="AE8" s="35">
        <v>1</v>
      </c>
      <c r="AF8" s="36">
        <v>1</v>
      </c>
      <c r="AG8" s="37" t="s">
        <v>34</v>
      </c>
    </row>
    <row r="9" spans="1:33" x14ac:dyDescent="0.45">
      <c r="A9" s="4" t="s">
        <v>48</v>
      </c>
      <c r="B9" s="14">
        <v>8.4</v>
      </c>
      <c r="C9" s="15">
        <v>117</v>
      </c>
      <c r="D9" s="14">
        <v>64</v>
      </c>
      <c r="E9" s="14">
        <v>3.8</v>
      </c>
      <c r="F9" s="14">
        <v>4.8</v>
      </c>
      <c r="G9" s="14">
        <v>7</v>
      </c>
      <c r="H9" s="15">
        <v>1070</v>
      </c>
      <c r="I9" s="15">
        <v>107.4</v>
      </c>
      <c r="J9" s="14">
        <v>93.4</v>
      </c>
      <c r="K9" s="10">
        <v>0</v>
      </c>
      <c r="L9" s="10">
        <v>0</v>
      </c>
      <c r="M9" s="10">
        <v>0</v>
      </c>
      <c r="N9" s="15">
        <v>0.47</v>
      </c>
      <c r="O9" s="14">
        <v>56.26</v>
      </c>
      <c r="P9" s="35">
        <v>2440000</v>
      </c>
      <c r="Q9" s="36">
        <v>41700</v>
      </c>
      <c r="R9" s="36">
        <v>47600</v>
      </c>
      <c r="S9" s="36">
        <v>47.9</v>
      </c>
      <c r="T9" s="36">
        <v>536</v>
      </c>
      <c r="U9" s="35">
        <v>211000</v>
      </c>
      <c r="V9" s="36">
        <v>6590</v>
      </c>
      <c r="W9" s="36">
        <v>10400</v>
      </c>
      <c r="X9" s="36">
        <v>14.1</v>
      </c>
      <c r="Y9" s="35">
        <v>21.6</v>
      </c>
      <c r="Z9" s="36">
        <v>9500</v>
      </c>
      <c r="AA9" s="36">
        <v>660000000</v>
      </c>
      <c r="AB9" s="35">
        <v>1</v>
      </c>
      <c r="AC9" s="36">
        <v>1</v>
      </c>
      <c r="AD9" s="37" t="s">
        <v>34</v>
      </c>
      <c r="AE9" s="35">
        <v>1</v>
      </c>
      <c r="AF9" s="36">
        <v>1</v>
      </c>
      <c r="AG9" s="37" t="s">
        <v>34</v>
      </c>
    </row>
    <row r="10" spans="1:33" x14ac:dyDescent="0.45">
      <c r="A10" s="20" t="s">
        <v>49</v>
      </c>
      <c r="B10" s="11">
        <v>8.6999999999999993</v>
      </c>
      <c r="C10" s="12">
        <v>117.6</v>
      </c>
      <c r="D10" s="11">
        <v>64</v>
      </c>
      <c r="E10" s="11">
        <v>3.8</v>
      </c>
      <c r="F10" s="11">
        <v>5.0999999999999996</v>
      </c>
      <c r="G10" s="11">
        <v>7</v>
      </c>
      <c r="H10" s="12">
        <v>1100</v>
      </c>
      <c r="I10" s="12">
        <v>107.4</v>
      </c>
      <c r="J10" s="11">
        <v>93.4</v>
      </c>
      <c r="K10" s="13">
        <v>0</v>
      </c>
      <c r="L10" s="13">
        <v>0</v>
      </c>
      <c r="M10" s="13">
        <v>0</v>
      </c>
      <c r="N10" s="12">
        <v>0.47199999999999998</v>
      </c>
      <c r="O10" s="11">
        <v>54.47</v>
      </c>
      <c r="P10" s="30">
        <v>2570000</v>
      </c>
      <c r="Q10" s="31">
        <v>43800</v>
      </c>
      <c r="R10" s="31">
        <v>49900</v>
      </c>
      <c r="S10" s="31">
        <v>48.3</v>
      </c>
      <c r="T10" s="31">
        <v>541</v>
      </c>
      <c r="U10" s="30">
        <v>224000</v>
      </c>
      <c r="V10" s="31">
        <v>7000</v>
      </c>
      <c r="W10" s="31">
        <v>11000</v>
      </c>
      <c r="X10" s="31">
        <v>14.2</v>
      </c>
      <c r="Y10" s="30">
        <v>22.2</v>
      </c>
      <c r="Z10" s="31">
        <v>10400</v>
      </c>
      <c r="AA10" s="31">
        <v>710000000</v>
      </c>
      <c r="AB10" s="30">
        <v>1</v>
      </c>
      <c r="AC10" s="31">
        <v>1</v>
      </c>
      <c r="AD10" s="32" t="s">
        <v>43</v>
      </c>
      <c r="AE10" s="30">
        <v>1</v>
      </c>
      <c r="AF10" s="31">
        <v>1</v>
      </c>
      <c r="AG10" s="32" t="s">
        <v>43</v>
      </c>
    </row>
    <row r="11" spans="1:33" x14ac:dyDescent="0.45">
      <c r="A11" s="4" t="s">
        <v>50</v>
      </c>
      <c r="B11" s="14">
        <v>10.4</v>
      </c>
      <c r="C11" s="15">
        <v>120</v>
      </c>
      <c r="D11" s="14">
        <v>64</v>
      </c>
      <c r="E11" s="14">
        <v>4.4000000000000004</v>
      </c>
      <c r="F11" s="14">
        <v>6.3</v>
      </c>
      <c r="G11" s="14">
        <v>7</v>
      </c>
      <c r="H11" s="15">
        <v>1320</v>
      </c>
      <c r="I11" s="15">
        <v>107.4</v>
      </c>
      <c r="J11" s="14">
        <v>93.4</v>
      </c>
      <c r="K11" s="10">
        <v>0</v>
      </c>
      <c r="L11" s="10">
        <v>0</v>
      </c>
      <c r="M11" s="10">
        <v>0</v>
      </c>
      <c r="N11" s="15">
        <v>0.47499999999999998</v>
      </c>
      <c r="O11" s="14">
        <v>45.82</v>
      </c>
      <c r="P11" s="35">
        <v>3180000</v>
      </c>
      <c r="Q11" s="36">
        <v>53000</v>
      </c>
      <c r="R11" s="36">
        <v>60700</v>
      </c>
      <c r="S11" s="36">
        <v>49</v>
      </c>
      <c r="T11" s="36">
        <v>631</v>
      </c>
      <c r="U11" s="35">
        <v>277000</v>
      </c>
      <c r="V11" s="36">
        <v>8650</v>
      </c>
      <c r="W11" s="36">
        <v>13600</v>
      </c>
      <c r="X11" s="36">
        <v>14.5</v>
      </c>
      <c r="Y11" s="35">
        <v>25.2</v>
      </c>
      <c r="Z11" s="36">
        <v>17400</v>
      </c>
      <c r="AA11" s="36">
        <v>890000000</v>
      </c>
      <c r="AB11" s="35">
        <v>1</v>
      </c>
      <c r="AC11" s="36">
        <v>1</v>
      </c>
      <c r="AD11" s="37" t="s">
        <v>34</v>
      </c>
      <c r="AE11" s="35">
        <v>1</v>
      </c>
      <c r="AF11" s="36">
        <v>1</v>
      </c>
      <c r="AG11" s="37" t="s">
        <v>34</v>
      </c>
    </row>
    <row r="12" spans="1:33" x14ac:dyDescent="0.45">
      <c r="A12" s="6" t="s">
        <v>51</v>
      </c>
      <c r="B12" s="14">
        <v>10.1</v>
      </c>
      <c r="C12" s="15">
        <v>136.6</v>
      </c>
      <c r="D12" s="14">
        <v>73</v>
      </c>
      <c r="E12" s="14">
        <v>3.8</v>
      </c>
      <c r="F12" s="14">
        <v>5.2</v>
      </c>
      <c r="G12" s="14">
        <v>7</v>
      </c>
      <c r="H12" s="15">
        <v>1280</v>
      </c>
      <c r="I12" s="15">
        <v>126.2</v>
      </c>
      <c r="J12" s="14">
        <v>112.2</v>
      </c>
      <c r="K12" s="10">
        <v>0</v>
      </c>
      <c r="L12" s="10">
        <v>0</v>
      </c>
      <c r="M12" s="10">
        <v>0</v>
      </c>
      <c r="N12" s="15">
        <v>0.54600000000000004</v>
      </c>
      <c r="O12" s="14">
        <v>54.26</v>
      </c>
      <c r="P12" s="35">
        <v>4070000</v>
      </c>
      <c r="Q12" s="36">
        <v>59700</v>
      </c>
      <c r="R12" s="36">
        <v>67600</v>
      </c>
      <c r="S12" s="36">
        <v>56.4</v>
      </c>
      <c r="T12" s="36">
        <v>614</v>
      </c>
      <c r="U12" s="35">
        <v>338000</v>
      </c>
      <c r="V12" s="36">
        <v>9270</v>
      </c>
      <c r="W12" s="36">
        <v>14500</v>
      </c>
      <c r="X12" s="36">
        <v>16.299999999999997</v>
      </c>
      <c r="Y12" s="35">
        <v>22.4</v>
      </c>
      <c r="Z12" s="36">
        <v>11900</v>
      </c>
      <c r="AA12" s="36">
        <v>1460000000</v>
      </c>
      <c r="AB12" s="35">
        <v>1</v>
      </c>
      <c r="AC12" s="36">
        <v>1</v>
      </c>
      <c r="AD12" s="37" t="s">
        <v>34</v>
      </c>
      <c r="AE12" s="35">
        <v>1</v>
      </c>
      <c r="AF12" s="36">
        <v>2</v>
      </c>
      <c r="AG12" s="37" t="s">
        <v>34</v>
      </c>
    </row>
    <row r="13" spans="1:33" x14ac:dyDescent="0.45">
      <c r="A13" s="21" t="s">
        <v>52</v>
      </c>
      <c r="B13" s="11">
        <v>10.5</v>
      </c>
      <c r="C13" s="12">
        <v>137.4</v>
      </c>
      <c r="D13" s="11">
        <v>73</v>
      </c>
      <c r="E13" s="11">
        <v>3.8</v>
      </c>
      <c r="F13" s="11">
        <v>5.6</v>
      </c>
      <c r="G13" s="11">
        <v>7</v>
      </c>
      <c r="H13" s="12">
        <v>1340</v>
      </c>
      <c r="I13" s="12">
        <v>126.2</v>
      </c>
      <c r="J13" s="11">
        <v>112.2</v>
      </c>
      <c r="K13" s="13">
        <v>0</v>
      </c>
      <c r="L13" s="13">
        <v>0</v>
      </c>
      <c r="M13" s="13">
        <v>0</v>
      </c>
      <c r="N13" s="12">
        <v>0.54700000000000004</v>
      </c>
      <c r="O13" s="11">
        <v>52.05</v>
      </c>
      <c r="P13" s="30">
        <v>4350000</v>
      </c>
      <c r="Q13" s="31">
        <v>63300</v>
      </c>
      <c r="R13" s="31">
        <v>71600</v>
      </c>
      <c r="S13" s="31">
        <v>57</v>
      </c>
      <c r="T13" s="31">
        <v>621</v>
      </c>
      <c r="U13" s="30">
        <v>364000</v>
      </c>
      <c r="V13" s="31">
        <v>10000</v>
      </c>
      <c r="W13" s="31">
        <v>15500</v>
      </c>
      <c r="X13" s="31">
        <v>16.5</v>
      </c>
      <c r="Y13" s="30">
        <v>23.2</v>
      </c>
      <c r="Z13" s="31">
        <v>13600.000000000002</v>
      </c>
      <c r="AA13" s="31">
        <v>1580000000</v>
      </c>
      <c r="AB13" s="30">
        <v>1</v>
      </c>
      <c r="AC13" s="31">
        <v>1</v>
      </c>
      <c r="AD13" s="31">
        <v>1</v>
      </c>
      <c r="AE13" s="30">
        <v>1</v>
      </c>
      <c r="AF13" s="31">
        <v>2</v>
      </c>
      <c r="AG13" s="31">
        <v>3</v>
      </c>
    </row>
    <row r="14" spans="1:33" x14ac:dyDescent="0.45">
      <c r="A14" s="4" t="s">
        <v>53</v>
      </c>
      <c r="B14" s="14">
        <v>12.9</v>
      </c>
      <c r="C14" s="15">
        <v>140</v>
      </c>
      <c r="D14" s="14">
        <v>73</v>
      </c>
      <c r="E14" s="14">
        <v>4.7</v>
      </c>
      <c r="F14" s="14">
        <v>6.9</v>
      </c>
      <c r="G14" s="14">
        <v>7</v>
      </c>
      <c r="H14" s="15">
        <v>1639.9999999999998</v>
      </c>
      <c r="I14" s="15">
        <v>126.2</v>
      </c>
      <c r="J14" s="14">
        <v>112.2</v>
      </c>
      <c r="K14" s="10">
        <v>0</v>
      </c>
      <c r="L14" s="10">
        <v>0</v>
      </c>
      <c r="M14" s="10">
        <v>0</v>
      </c>
      <c r="N14" s="15">
        <v>0.55100000000000005</v>
      </c>
      <c r="O14" s="14">
        <v>42.7</v>
      </c>
      <c r="P14" s="35">
        <v>5410000</v>
      </c>
      <c r="Q14" s="36">
        <v>77300</v>
      </c>
      <c r="R14" s="36">
        <v>88300</v>
      </c>
      <c r="S14" s="36">
        <v>57.400000000000006</v>
      </c>
      <c r="T14" s="36">
        <v>764</v>
      </c>
      <c r="U14" s="35">
        <v>449000</v>
      </c>
      <c r="V14" s="36">
        <v>12300</v>
      </c>
      <c r="W14" s="36">
        <v>19300</v>
      </c>
      <c r="X14" s="36">
        <v>16.5</v>
      </c>
      <c r="Y14" s="35">
        <v>26.7</v>
      </c>
      <c r="Z14" s="36">
        <v>24500</v>
      </c>
      <c r="AA14" s="36">
        <v>1980000000</v>
      </c>
      <c r="AB14" s="35">
        <v>1</v>
      </c>
      <c r="AC14" s="36">
        <v>1</v>
      </c>
      <c r="AD14" s="36">
        <v>1</v>
      </c>
      <c r="AE14" s="35">
        <v>1</v>
      </c>
      <c r="AF14" s="36">
        <v>1</v>
      </c>
      <c r="AG14" s="36">
        <v>2</v>
      </c>
    </row>
    <row r="15" spans="1:33" x14ac:dyDescent="0.45">
      <c r="A15" s="4" t="s">
        <v>54</v>
      </c>
      <c r="B15" s="14">
        <v>12.1</v>
      </c>
      <c r="C15" s="15">
        <v>156.4</v>
      </c>
      <c r="D15" s="14">
        <v>82</v>
      </c>
      <c r="E15" s="14">
        <v>4</v>
      </c>
      <c r="F15" s="14">
        <v>5.6</v>
      </c>
      <c r="G15" s="14">
        <v>7</v>
      </c>
      <c r="H15" s="15">
        <v>1540</v>
      </c>
      <c r="I15" s="15">
        <v>145.19999999999999</v>
      </c>
      <c r="J15" s="14">
        <v>131.19999999999999</v>
      </c>
      <c r="K15" s="10">
        <v>0</v>
      </c>
      <c r="L15" s="10">
        <v>0</v>
      </c>
      <c r="M15" s="10">
        <v>0</v>
      </c>
      <c r="N15" s="15">
        <v>0.621</v>
      </c>
      <c r="O15" s="14">
        <v>50.4</v>
      </c>
      <c r="P15" s="35">
        <v>6460000</v>
      </c>
      <c r="Q15" s="36">
        <v>82600</v>
      </c>
      <c r="R15" s="36">
        <v>93300</v>
      </c>
      <c r="S15" s="36">
        <v>64.7</v>
      </c>
      <c r="T15" s="36">
        <v>724</v>
      </c>
      <c r="U15" s="35">
        <v>516000</v>
      </c>
      <c r="V15" s="36">
        <v>12600</v>
      </c>
      <c r="W15" s="36">
        <v>19600</v>
      </c>
      <c r="X15" s="36">
        <v>18.3</v>
      </c>
      <c r="Y15" s="35">
        <v>23.4</v>
      </c>
      <c r="Z15" s="36">
        <v>15700</v>
      </c>
      <c r="AA15" s="36">
        <v>2930000000</v>
      </c>
      <c r="AB15" s="35">
        <v>1</v>
      </c>
      <c r="AC15" s="36">
        <v>1</v>
      </c>
      <c r="AD15" s="37" t="s">
        <v>34</v>
      </c>
      <c r="AE15" s="35">
        <v>1</v>
      </c>
      <c r="AF15" s="36">
        <v>3</v>
      </c>
      <c r="AG15" s="37" t="s">
        <v>34</v>
      </c>
    </row>
    <row r="16" spans="1:33" x14ac:dyDescent="0.45">
      <c r="A16" s="20" t="s">
        <v>55</v>
      </c>
      <c r="B16" s="11">
        <v>12.7</v>
      </c>
      <c r="C16" s="12">
        <v>157</v>
      </c>
      <c r="D16" s="11">
        <v>82</v>
      </c>
      <c r="E16" s="11">
        <v>4</v>
      </c>
      <c r="F16" s="11">
        <v>5.9</v>
      </c>
      <c r="G16" s="11">
        <v>9</v>
      </c>
      <c r="H16" s="12">
        <v>1620</v>
      </c>
      <c r="I16" s="12">
        <v>145.19999999999999</v>
      </c>
      <c r="J16" s="11">
        <v>127.2</v>
      </c>
      <c r="K16" s="13">
        <v>0</v>
      </c>
      <c r="L16" s="13">
        <v>0</v>
      </c>
      <c r="M16" s="13">
        <v>0</v>
      </c>
      <c r="N16" s="12">
        <v>0.61899999999999999</v>
      </c>
      <c r="O16" s="11">
        <v>48.7</v>
      </c>
      <c r="P16" s="30">
        <v>6890000</v>
      </c>
      <c r="Q16" s="31">
        <v>87800</v>
      </c>
      <c r="R16" s="31">
        <v>99100</v>
      </c>
      <c r="S16" s="31">
        <v>65.3</v>
      </c>
      <c r="T16" s="31">
        <v>780</v>
      </c>
      <c r="U16" s="30">
        <v>544000</v>
      </c>
      <c r="V16" s="31">
        <v>13300</v>
      </c>
      <c r="W16" s="31">
        <v>20700</v>
      </c>
      <c r="X16" s="31">
        <v>18.3</v>
      </c>
      <c r="Y16" s="30">
        <v>26.3</v>
      </c>
      <c r="Z16" s="31">
        <v>19600</v>
      </c>
      <c r="AA16" s="31">
        <v>3090000000</v>
      </c>
      <c r="AB16" s="30">
        <v>1</v>
      </c>
      <c r="AC16" s="31">
        <v>1</v>
      </c>
      <c r="AD16" s="31">
        <v>1</v>
      </c>
      <c r="AE16" s="30">
        <v>1</v>
      </c>
      <c r="AF16" s="31">
        <v>3</v>
      </c>
      <c r="AG16" s="31">
        <v>4</v>
      </c>
    </row>
    <row r="17" spans="1:33" x14ac:dyDescent="0.45">
      <c r="A17" s="4" t="s">
        <v>56</v>
      </c>
      <c r="B17" s="14">
        <v>15.8</v>
      </c>
      <c r="C17" s="15">
        <v>160</v>
      </c>
      <c r="D17" s="14">
        <v>82</v>
      </c>
      <c r="E17" s="14">
        <v>5</v>
      </c>
      <c r="F17" s="14">
        <v>7.4</v>
      </c>
      <c r="G17" s="14">
        <v>9</v>
      </c>
      <c r="H17" s="15">
        <v>2010.0000000000002</v>
      </c>
      <c r="I17" s="15">
        <v>145.19999999999999</v>
      </c>
      <c r="J17" s="14">
        <v>127.2</v>
      </c>
      <c r="K17" s="10">
        <v>0</v>
      </c>
      <c r="L17" s="10">
        <v>0</v>
      </c>
      <c r="M17" s="10">
        <v>0</v>
      </c>
      <c r="N17" s="15">
        <v>0.623</v>
      </c>
      <c r="O17" s="14">
        <v>39.47</v>
      </c>
      <c r="P17" s="35">
        <v>8690000</v>
      </c>
      <c r="Q17" s="36">
        <v>109000</v>
      </c>
      <c r="R17" s="36">
        <v>124000</v>
      </c>
      <c r="S17" s="36">
        <v>65.8</v>
      </c>
      <c r="T17" s="36">
        <v>966</v>
      </c>
      <c r="U17" s="35">
        <v>683000</v>
      </c>
      <c r="V17" s="36">
        <v>16700</v>
      </c>
      <c r="W17" s="36">
        <v>26100</v>
      </c>
      <c r="X17" s="36">
        <v>18.400000000000002</v>
      </c>
      <c r="Y17" s="35">
        <v>30.3</v>
      </c>
      <c r="Z17" s="36">
        <v>36000</v>
      </c>
      <c r="AA17" s="36">
        <v>3960000000</v>
      </c>
      <c r="AB17" s="35">
        <v>1</v>
      </c>
      <c r="AC17" s="36">
        <v>1</v>
      </c>
      <c r="AD17" s="36">
        <v>1</v>
      </c>
      <c r="AE17" s="35">
        <v>1</v>
      </c>
      <c r="AF17" s="36">
        <v>1</v>
      </c>
      <c r="AG17" s="36">
        <v>2</v>
      </c>
    </row>
    <row r="18" spans="1:33" x14ac:dyDescent="0.45">
      <c r="A18" s="4" t="s">
        <v>57</v>
      </c>
      <c r="B18" s="14">
        <v>14.9</v>
      </c>
      <c r="C18" s="15">
        <v>176.4</v>
      </c>
      <c r="D18" s="14">
        <v>91</v>
      </c>
      <c r="E18" s="14">
        <v>4.3</v>
      </c>
      <c r="F18" s="14">
        <v>6.2</v>
      </c>
      <c r="G18" s="14">
        <v>9</v>
      </c>
      <c r="H18" s="15">
        <v>1900</v>
      </c>
      <c r="I18" s="15">
        <v>164</v>
      </c>
      <c r="J18" s="14">
        <v>146</v>
      </c>
      <c r="K18" s="16" t="s">
        <v>58</v>
      </c>
      <c r="L18" s="14">
        <v>48</v>
      </c>
      <c r="M18" s="14">
        <v>48</v>
      </c>
      <c r="N18" s="15">
        <v>0.69299999999999995</v>
      </c>
      <c r="O18" s="14">
        <v>46.37</v>
      </c>
      <c r="P18" s="35">
        <v>10200000</v>
      </c>
      <c r="Q18" s="36">
        <v>116000</v>
      </c>
      <c r="R18" s="36">
        <v>131000</v>
      </c>
      <c r="S18" s="36">
        <v>73.2</v>
      </c>
      <c r="T18" s="36">
        <v>913.00000000000011</v>
      </c>
      <c r="U18" s="35">
        <v>781000</v>
      </c>
      <c r="V18" s="36">
        <v>17200</v>
      </c>
      <c r="W18" s="36">
        <v>26700</v>
      </c>
      <c r="X18" s="36">
        <v>20.299999999999997</v>
      </c>
      <c r="Y18" s="35">
        <v>27.2</v>
      </c>
      <c r="Z18" s="36">
        <v>24800</v>
      </c>
      <c r="AA18" s="36">
        <v>5640000000</v>
      </c>
      <c r="AB18" s="35">
        <v>1</v>
      </c>
      <c r="AC18" s="36">
        <v>1</v>
      </c>
      <c r="AD18" s="37" t="s">
        <v>34</v>
      </c>
      <c r="AE18" s="35">
        <v>2</v>
      </c>
      <c r="AF18" s="36">
        <v>3</v>
      </c>
      <c r="AG18" s="37" t="s">
        <v>34</v>
      </c>
    </row>
    <row r="19" spans="1:33" x14ac:dyDescent="0.45">
      <c r="A19" s="20" t="s">
        <v>59</v>
      </c>
      <c r="B19" s="11">
        <v>15.4</v>
      </c>
      <c r="C19" s="12">
        <v>177</v>
      </c>
      <c r="D19" s="11">
        <v>91</v>
      </c>
      <c r="E19" s="11">
        <v>4.3</v>
      </c>
      <c r="F19" s="11">
        <v>6.5</v>
      </c>
      <c r="G19" s="11">
        <v>9</v>
      </c>
      <c r="H19" s="12">
        <v>1960.0000000000002</v>
      </c>
      <c r="I19" s="12">
        <v>164</v>
      </c>
      <c r="J19" s="11">
        <v>146</v>
      </c>
      <c r="K19" s="13" t="s">
        <v>60</v>
      </c>
      <c r="L19" s="11">
        <v>48</v>
      </c>
      <c r="M19" s="11">
        <v>48</v>
      </c>
      <c r="N19" s="12">
        <v>0.69399999999999995</v>
      </c>
      <c r="O19" s="11">
        <v>45.15</v>
      </c>
      <c r="P19" s="30">
        <v>10630000</v>
      </c>
      <c r="Q19" s="31">
        <v>120000</v>
      </c>
      <c r="R19" s="31">
        <v>135000</v>
      </c>
      <c r="S19" s="31">
        <v>73.7</v>
      </c>
      <c r="T19" s="31">
        <v>919.99999999999989</v>
      </c>
      <c r="U19" s="30">
        <v>819000</v>
      </c>
      <c r="V19" s="31">
        <v>18000</v>
      </c>
      <c r="W19" s="31">
        <v>28000</v>
      </c>
      <c r="X19" s="31">
        <v>20.5</v>
      </c>
      <c r="Y19" s="30">
        <v>27.8</v>
      </c>
      <c r="Z19" s="31">
        <v>27000</v>
      </c>
      <c r="AA19" s="31">
        <v>5930000000</v>
      </c>
      <c r="AB19" s="30">
        <v>1</v>
      </c>
      <c r="AC19" s="31">
        <v>1</v>
      </c>
      <c r="AD19" s="31">
        <v>1</v>
      </c>
      <c r="AE19" s="30">
        <v>2</v>
      </c>
      <c r="AF19" s="31">
        <v>3</v>
      </c>
      <c r="AG19" s="31">
        <v>4</v>
      </c>
    </row>
    <row r="20" spans="1:33" x14ac:dyDescent="0.45">
      <c r="A20" s="4" t="s">
        <v>61</v>
      </c>
      <c r="B20" s="14">
        <v>18.8</v>
      </c>
      <c r="C20" s="15">
        <v>180</v>
      </c>
      <c r="D20" s="14">
        <v>91</v>
      </c>
      <c r="E20" s="14">
        <v>5.3</v>
      </c>
      <c r="F20" s="14">
        <v>8</v>
      </c>
      <c r="G20" s="14">
        <v>9</v>
      </c>
      <c r="H20" s="15">
        <v>2390</v>
      </c>
      <c r="I20" s="15">
        <v>164</v>
      </c>
      <c r="J20" s="14">
        <v>146</v>
      </c>
      <c r="K20" s="16" t="s">
        <v>58</v>
      </c>
      <c r="L20" s="14">
        <v>48</v>
      </c>
      <c r="M20" s="14">
        <v>48</v>
      </c>
      <c r="N20" s="15">
        <v>0.69799999999999995</v>
      </c>
      <c r="O20" s="14">
        <v>37.130000000000003</v>
      </c>
      <c r="P20" s="35">
        <v>13170000</v>
      </c>
      <c r="Q20" s="36">
        <v>146000</v>
      </c>
      <c r="R20" s="36">
        <v>166000</v>
      </c>
      <c r="S20" s="36">
        <v>74.2</v>
      </c>
      <c r="T20" s="36">
        <v>1130</v>
      </c>
      <c r="U20" s="35">
        <v>1010000</v>
      </c>
      <c r="V20" s="36">
        <v>22200</v>
      </c>
      <c r="W20" s="36">
        <v>34600</v>
      </c>
      <c r="X20" s="36">
        <v>20.5</v>
      </c>
      <c r="Y20" s="35">
        <v>31.8</v>
      </c>
      <c r="Z20" s="36">
        <v>47900</v>
      </c>
      <c r="AA20" s="36">
        <v>7430000000</v>
      </c>
      <c r="AB20" s="35">
        <v>1</v>
      </c>
      <c r="AC20" s="36">
        <v>1</v>
      </c>
      <c r="AD20" s="36">
        <v>1</v>
      </c>
      <c r="AE20" s="35">
        <v>1</v>
      </c>
      <c r="AF20" s="36">
        <v>2</v>
      </c>
      <c r="AG20" s="36">
        <v>3</v>
      </c>
    </row>
    <row r="21" spans="1:33" x14ac:dyDescent="0.45">
      <c r="A21" s="20" t="s">
        <v>62</v>
      </c>
      <c r="B21" s="11">
        <v>21.3</v>
      </c>
      <c r="C21" s="12">
        <v>182</v>
      </c>
      <c r="D21" s="11">
        <v>92</v>
      </c>
      <c r="E21" s="11">
        <v>6</v>
      </c>
      <c r="F21" s="11">
        <v>9</v>
      </c>
      <c r="G21" s="11">
        <v>9</v>
      </c>
      <c r="H21" s="12">
        <v>2710</v>
      </c>
      <c r="I21" s="12">
        <v>164</v>
      </c>
      <c r="J21" s="11">
        <v>146</v>
      </c>
      <c r="K21" s="13" t="s">
        <v>60</v>
      </c>
      <c r="L21" s="11">
        <v>50</v>
      </c>
      <c r="M21" s="11">
        <v>50</v>
      </c>
      <c r="N21" s="12">
        <v>0.70499999999999996</v>
      </c>
      <c r="O21" s="11">
        <v>33.119999999999997</v>
      </c>
      <c r="P21" s="30">
        <v>15050000</v>
      </c>
      <c r="Q21" s="31">
        <v>165000</v>
      </c>
      <c r="R21" s="31">
        <v>189000</v>
      </c>
      <c r="S21" s="31">
        <v>74.5</v>
      </c>
      <c r="T21" s="31">
        <v>1270</v>
      </c>
      <c r="U21" s="30">
        <v>1170000</v>
      </c>
      <c r="V21" s="31">
        <v>25500</v>
      </c>
      <c r="W21" s="31">
        <v>39900</v>
      </c>
      <c r="X21" s="31">
        <v>20.8</v>
      </c>
      <c r="Y21" s="30">
        <v>34.5</v>
      </c>
      <c r="Z21" s="31">
        <v>67600</v>
      </c>
      <c r="AA21" s="31">
        <v>8740000000</v>
      </c>
      <c r="AB21" s="30">
        <v>1</v>
      </c>
      <c r="AC21" s="31">
        <v>1</v>
      </c>
      <c r="AD21" s="31">
        <v>1</v>
      </c>
      <c r="AE21" s="30">
        <v>1</v>
      </c>
      <c r="AF21" s="31">
        <v>1</v>
      </c>
      <c r="AG21" s="31">
        <v>2</v>
      </c>
    </row>
    <row r="22" spans="1:33" x14ac:dyDescent="0.45">
      <c r="A22" s="20" t="s">
        <v>63</v>
      </c>
      <c r="B22" s="11">
        <v>18</v>
      </c>
      <c r="C22" s="12">
        <v>196.4</v>
      </c>
      <c r="D22" s="11">
        <v>100</v>
      </c>
      <c r="E22" s="11">
        <v>4.5</v>
      </c>
      <c r="F22" s="11">
        <v>6.7</v>
      </c>
      <c r="G22" s="11">
        <v>12</v>
      </c>
      <c r="H22" s="12">
        <v>2290</v>
      </c>
      <c r="I22" s="12">
        <v>183</v>
      </c>
      <c r="J22" s="11">
        <v>159</v>
      </c>
      <c r="K22" s="13" t="s">
        <v>60</v>
      </c>
      <c r="L22" s="11">
        <v>54</v>
      </c>
      <c r="M22" s="11">
        <v>58</v>
      </c>
      <c r="N22" s="12">
        <v>0.76300000000000001</v>
      </c>
      <c r="O22" s="11">
        <v>42.51</v>
      </c>
      <c r="P22" s="30">
        <v>15330000</v>
      </c>
      <c r="Q22" s="31">
        <v>156000</v>
      </c>
      <c r="R22" s="31">
        <v>176000</v>
      </c>
      <c r="S22" s="31">
        <v>81.899999999999991</v>
      </c>
      <c r="T22" s="31">
        <v>1140</v>
      </c>
      <c r="U22" s="30">
        <v>1120000</v>
      </c>
      <c r="V22" s="31">
        <v>22400</v>
      </c>
      <c r="W22" s="31">
        <v>35000</v>
      </c>
      <c r="X22" s="31">
        <v>22.1</v>
      </c>
      <c r="Y22" s="30">
        <v>32</v>
      </c>
      <c r="Z22" s="31">
        <v>38400</v>
      </c>
      <c r="AA22" s="31">
        <v>10100000000</v>
      </c>
      <c r="AB22" s="30">
        <v>1</v>
      </c>
      <c r="AC22" s="31">
        <v>1</v>
      </c>
      <c r="AD22" s="32" t="s">
        <v>43</v>
      </c>
      <c r="AE22" s="30">
        <v>2</v>
      </c>
      <c r="AF22" s="31">
        <v>4</v>
      </c>
      <c r="AG22" s="32" t="s">
        <v>43</v>
      </c>
    </row>
    <row r="23" spans="1:33" x14ac:dyDescent="0.45">
      <c r="A23" s="4" t="s">
        <v>64</v>
      </c>
      <c r="B23" s="14">
        <v>18.399999999999999</v>
      </c>
      <c r="C23" s="15">
        <v>197</v>
      </c>
      <c r="D23" s="14">
        <v>100</v>
      </c>
      <c r="E23" s="14">
        <v>4.5</v>
      </c>
      <c r="F23" s="14">
        <v>7</v>
      </c>
      <c r="G23" s="14">
        <v>12</v>
      </c>
      <c r="H23" s="15">
        <v>2350</v>
      </c>
      <c r="I23" s="15">
        <v>183</v>
      </c>
      <c r="J23" s="14">
        <v>159</v>
      </c>
      <c r="K23" s="16" t="s">
        <v>58</v>
      </c>
      <c r="L23" s="14">
        <v>54</v>
      </c>
      <c r="M23" s="14">
        <v>58</v>
      </c>
      <c r="N23" s="15">
        <v>0.76400000000000001</v>
      </c>
      <c r="O23" s="14">
        <v>41.49</v>
      </c>
      <c r="P23" s="35">
        <v>15910000</v>
      </c>
      <c r="Q23" s="36">
        <v>162000</v>
      </c>
      <c r="R23" s="36">
        <v>182000</v>
      </c>
      <c r="S23" s="36">
        <v>82.300000000000011</v>
      </c>
      <c r="T23" s="36">
        <v>1150</v>
      </c>
      <c r="U23" s="35">
        <v>1170000</v>
      </c>
      <c r="V23" s="36">
        <v>23400</v>
      </c>
      <c r="W23" s="31">
        <v>35000</v>
      </c>
      <c r="X23" s="36">
        <v>22.3</v>
      </c>
      <c r="Y23" s="35">
        <v>32.6</v>
      </c>
      <c r="Z23" s="36">
        <v>41100</v>
      </c>
      <c r="AA23" s="36">
        <v>10500000000</v>
      </c>
      <c r="AB23" s="35">
        <v>1</v>
      </c>
      <c r="AC23" s="36">
        <v>1</v>
      </c>
      <c r="AD23" s="36">
        <v>1</v>
      </c>
      <c r="AE23" s="35">
        <v>2</v>
      </c>
      <c r="AF23" s="36">
        <v>4</v>
      </c>
      <c r="AG23" s="36">
        <v>4</v>
      </c>
    </row>
    <row r="24" spans="1:33" x14ac:dyDescent="0.45">
      <c r="A24" s="3" t="s">
        <v>65</v>
      </c>
      <c r="B24" s="11">
        <v>22.4</v>
      </c>
      <c r="C24" s="12">
        <v>200</v>
      </c>
      <c r="D24" s="92">
        <v>100</v>
      </c>
      <c r="E24" s="11">
        <v>5.6</v>
      </c>
      <c r="F24" s="11">
        <v>8.5</v>
      </c>
      <c r="G24" s="11">
        <v>12</v>
      </c>
      <c r="H24" s="12">
        <v>2850</v>
      </c>
      <c r="I24" s="12">
        <v>183</v>
      </c>
      <c r="J24" s="11">
        <v>159</v>
      </c>
      <c r="K24" s="13" t="s">
        <v>60</v>
      </c>
      <c r="L24" s="11">
        <v>54</v>
      </c>
      <c r="M24" s="11">
        <v>58</v>
      </c>
      <c r="N24" s="12">
        <v>0.76800000000000002</v>
      </c>
      <c r="O24" s="11">
        <v>34.36</v>
      </c>
      <c r="P24" s="30">
        <v>19430000</v>
      </c>
      <c r="Q24" s="31">
        <v>194000</v>
      </c>
      <c r="R24" s="31">
        <v>221000</v>
      </c>
      <c r="S24" s="31">
        <v>82.6</v>
      </c>
      <c r="T24" s="31">
        <v>1400</v>
      </c>
      <c r="U24" s="30">
        <v>1420000</v>
      </c>
      <c r="V24" s="31">
        <v>28500</v>
      </c>
      <c r="W24" s="31">
        <v>35000</v>
      </c>
      <c r="X24" s="31">
        <v>22.400000000000002</v>
      </c>
      <c r="Y24" s="30">
        <v>36.700000000000003</v>
      </c>
      <c r="Z24" s="31">
        <v>69800</v>
      </c>
      <c r="AA24" s="31">
        <v>13000000000</v>
      </c>
      <c r="AB24" s="30">
        <v>1</v>
      </c>
      <c r="AC24" s="31">
        <v>1</v>
      </c>
      <c r="AD24" s="31">
        <v>1</v>
      </c>
      <c r="AE24" s="30">
        <v>1</v>
      </c>
      <c r="AF24" s="31">
        <v>2</v>
      </c>
      <c r="AG24" s="31">
        <v>3</v>
      </c>
    </row>
    <row r="25" spans="1:33" x14ac:dyDescent="0.45">
      <c r="A25" s="4" t="s">
        <v>66</v>
      </c>
      <c r="B25" s="14">
        <v>25.1</v>
      </c>
      <c r="C25" s="15">
        <v>202</v>
      </c>
      <c r="D25" s="14">
        <v>102</v>
      </c>
      <c r="E25" s="14">
        <v>6.2</v>
      </c>
      <c r="F25" s="14">
        <v>9.5</v>
      </c>
      <c r="G25" s="14">
        <v>12</v>
      </c>
      <c r="H25" s="15">
        <v>3200</v>
      </c>
      <c r="I25" s="15">
        <v>183</v>
      </c>
      <c r="J25" s="14">
        <v>159</v>
      </c>
      <c r="K25" s="16" t="s">
        <v>58</v>
      </c>
      <c r="L25" s="14">
        <v>56</v>
      </c>
      <c r="M25" s="14">
        <v>60</v>
      </c>
      <c r="N25" s="15">
        <v>0.77900000000000003</v>
      </c>
      <c r="O25" s="14">
        <v>31.05</v>
      </c>
      <c r="P25" s="35">
        <v>22110000</v>
      </c>
      <c r="Q25" s="36">
        <v>219000</v>
      </c>
      <c r="R25" s="36">
        <v>249000</v>
      </c>
      <c r="S25" s="36">
        <v>83.2</v>
      </c>
      <c r="T25" s="36">
        <v>1550</v>
      </c>
      <c r="U25" s="35">
        <v>1690000</v>
      </c>
      <c r="V25" s="36">
        <v>33100</v>
      </c>
      <c r="W25" s="31">
        <v>35000</v>
      </c>
      <c r="X25" s="36">
        <v>23</v>
      </c>
      <c r="Y25" s="35">
        <v>39.299999999999997</v>
      </c>
      <c r="Z25" s="36">
        <v>94500</v>
      </c>
      <c r="AA25" s="36">
        <v>15600000000</v>
      </c>
      <c r="AB25" s="35">
        <v>1</v>
      </c>
      <c r="AC25" s="36">
        <v>1</v>
      </c>
      <c r="AD25" s="36">
        <v>1</v>
      </c>
      <c r="AE25" s="35">
        <v>1</v>
      </c>
      <c r="AF25" s="36">
        <v>1</v>
      </c>
      <c r="AG25" s="36">
        <v>2</v>
      </c>
    </row>
    <row r="26" spans="1:33" x14ac:dyDescent="0.45">
      <c r="A26" s="4" t="s">
        <v>67</v>
      </c>
      <c r="B26" s="14">
        <v>21.2</v>
      </c>
      <c r="C26" s="15">
        <v>216.4</v>
      </c>
      <c r="D26" s="14">
        <v>110</v>
      </c>
      <c r="E26" s="14">
        <v>4.7</v>
      </c>
      <c r="F26" s="14">
        <v>7.4</v>
      </c>
      <c r="G26" s="14">
        <v>12</v>
      </c>
      <c r="H26" s="15">
        <v>2700</v>
      </c>
      <c r="I26" s="15">
        <v>201.6</v>
      </c>
      <c r="J26" s="14">
        <v>177.6</v>
      </c>
      <c r="K26" s="16" t="s">
        <v>68</v>
      </c>
      <c r="L26" s="14">
        <v>60</v>
      </c>
      <c r="M26" s="14">
        <v>62</v>
      </c>
      <c r="N26" s="15">
        <v>0.84299999999999997</v>
      </c>
      <c r="O26" s="14">
        <v>39.78</v>
      </c>
      <c r="P26" s="35">
        <v>22190000</v>
      </c>
      <c r="Q26" s="36">
        <v>205000</v>
      </c>
      <c r="R26" s="36">
        <v>230000</v>
      </c>
      <c r="S26" s="36">
        <v>90.7</v>
      </c>
      <c r="T26" s="36">
        <v>1280</v>
      </c>
      <c r="U26" s="35">
        <v>1650000</v>
      </c>
      <c r="V26" s="36">
        <v>29900</v>
      </c>
      <c r="W26" s="31">
        <v>35000</v>
      </c>
      <c r="X26" s="36">
        <v>24.700000000000003</v>
      </c>
      <c r="Y26" s="35">
        <v>33.6</v>
      </c>
      <c r="Z26" s="36">
        <v>50199.999999999993</v>
      </c>
      <c r="AA26" s="36">
        <v>17900000000</v>
      </c>
      <c r="AB26" s="35">
        <v>1</v>
      </c>
      <c r="AC26" s="36">
        <v>1</v>
      </c>
      <c r="AD26" s="37" t="s">
        <v>34</v>
      </c>
      <c r="AE26" s="35">
        <v>2</v>
      </c>
      <c r="AF26" s="36">
        <v>4</v>
      </c>
      <c r="AG26" s="37" t="s">
        <v>34</v>
      </c>
    </row>
    <row r="27" spans="1:33" x14ac:dyDescent="0.45">
      <c r="A27" s="20" t="s">
        <v>69</v>
      </c>
      <c r="B27" s="11">
        <v>22.2</v>
      </c>
      <c r="C27" s="12">
        <v>217</v>
      </c>
      <c r="D27" s="11">
        <v>110</v>
      </c>
      <c r="E27" s="11">
        <v>5</v>
      </c>
      <c r="F27" s="11">
        <v>7.7</v>
      </c>
      <c r="G27" s="11">
        <v>12</v>
      </c>
      <c r="H27" s="12">
        <v>2830</v>
      </c>
      <c r="I27" s="12">
        <v>201.6</v>
      </c>
      <c r="J27" s="11">
        <v>177.6</v>
      </c>
      <c r="K27" s="13" t="s">
        <v>70</v>
      </c>
      <c r="L27" s="11">
        <v>60</v>
      </c>
      <c r="M27" s="11">
        <v>62</v>
      </c>
      <c r="N27" s="12">
        <v>0.84299999999999997</v>
      </c>
      <c r="O27" s="11">
        <v>38.020000000000003</v>
      </c>
      <c r="P27" s="30">
        <v>23170000</v>
      </c>
      <c r="Q27" s="31">
        <v>214000</v>
      </c>
      <c r="R27" s="31">
        <v>240000</v>
      </c>
      <c r="S27" s="31">
        <v>90.5</v>
      </c>
      <c r="T27" s="31">
        <v>1360</v>
      </c>
      <c r="U27" s="30">
        <v>1710000</v>
      </c>
      <c r="V27" s="31">
        <v>31200</v>
      </c>
      <c r="W27" s="31">
        <v>35000</v>
      </c>
      <c r="X27" s="31">
        <v>24.6</v>
      </c>
      <c r="Y27" s="30">
        <v>34.5</v>
      </c>
      <c r="Z27" s="31">
        <v>56900.000000000007</v>
      </c>
      <c r="AA27" s="31">
        <v>18700000000</v>
      </c>
      <c r="AB27" s="30">
        <v>1</v>
      </c>
      <c r="AC27" s="31">
        <v>1</v>
      </c>
      <c r="AD27" s="31">
        <v>1</v>
      </c>
      <c r="AE27" s="30">
        <v>2</v>
      </c>
      <c r="AF27" s="31">
        <v>4</v>
      </c>
      <c r="AG27" s="31">
        <v>4</v>
      </c>
    </row>
    <row r="28" spans="1:33" x14ac:dyDescent="0.45">
      <c r="A28" s="4" t="s">
        <v>71</v>
      </c>
      <c r="B28" s="14">
        <v>26.2</v>
      </c>
      <c r="C28" s="15">
        <v>220</v>
      </c>
      <c r="D28" s="14">
        <v>110</v>
      </c>
      <c r="E28" s="14">
        <v>5.9</v>
      </c>
      <c r="F28" s="14">
        <v>9.1999999999999993</v>
      </c>
      <c r="G28" s="14">
        <v>12</v>
      </c>
      <c r="H28" s="15">
        <v>3340</v>
      </c>
      <c r="I28" s="15">
        <v>201.6</v>
      </c>
      <c r="J28" s="14">
        <v>177.6</v>
      </c>
      <c r="K28" s="16" t="s">
        <v>68</v>
      </c>
      <c r="L28" s="14">
        <v>60</v>
      </c>
      <c r="M28" s="14">
        <v>62</v>
      </c>
      <c r="N28" s="15">
        <v>0.84799999999999998</v>
      </c>
      <c r="O28" s="14">
        <v>32.36</v>
      </c>
      <c r="P28" s="35">
        <v>27720000</v>
      </c>
      <c r="Q28" s="36">
        <v>252000</v>
      </c>
      <c r="R28" s="36">
        <v>285000</v>
      </c>
      <c r="S28" s="36">
        <v>91.1</v>
      </c>
      <c r="T28" s="36">
        <v>1590</v>
      </c>
      <c r="U28" s="35">
        <v>2050000</v>
      </c>
      <c r="V28" s="36">
        <v>37300</v>
      </c>
      <c r="W28" s="31">
        <v>35000</v>
      </c>
      <c r="X28" s="36">
        <v>24.8</v>
      </c>
      <c r="Y28" s="35">
        <v>38.4</v>
      </c>
      <c r="Z28" s="36">
        <v>90700</v>
      </c>
      <c r="AA28" s="36">
        <v>22700000000</v>
      </c>
      <c r="AB28" s="35">
        <v>1</v>
      </c>
      <c r="AC28" s="36">
        <v>1</v>
      </c>
      <c r="AD28" s="36">
        <v>1</v>
      </c>
      <c r="AE28" s="35">
        <v>1</v>
      </c>
      <c r="AF28" s="36">
        <v>2</v>
      </c>
      <c r="AG28" s="36">
        <v>4</v>
      </c>
    </row>
    <row r="29" spans="1:33" x14ac:dyDescent="0.45">
      <c r="A29" s="22" t="s">
        <v>72</v>
      </c>
      <c r="B29" s="17">
        <v>29.4</v>
      </c>
      <c r="C29" s="18">
        <v>222</v>
      </c>
      <c r="D29" s="17">
        <v>112</v>
      </c>
      <c r="E29" s="17">
        <v>6.6</v>
      </c>
      <c r="F29" s="17">
        <v>10.199999999999999</v>
      </c>
      <c r="G29" s="17">
        <v>12</v>
      </c>
      <c r="H29" s="18">
        <v>3740</v>
      </c>
      <c r="I29" s="18">
        <v>201.6</v>
      </c>
      <c r="J29" s="17">
        <v>177.6</v>
      </c>
      <c r="K29" s="19" t="s">
        <v>60</v>
      </c>
      <c r="L29" s="17">
        <v>58</v>
      </c>
      <c r="M29" s="17">
        <v>66</v>
      </c>
      <c r="N29" s="18">
        <v>0.85799999999999998</v>
      </c>
      <c r="O29" s="17">
        <v>29.24</v>
      </c>
      <c r="P29" s="41">
        <v>31340000</v>
      </c>
      <c r="Q29" s="42">
        <v>282000</v>
      </c>
      <c r="R29" s="42">
        <v>321000</v>
      </c>
      <c r="S29" s="42">
        <v>91.6</v>
      </c>
      <c r="T29" s="42">
        <v>1770</v>
      </c>
      <c r="U29" s="41">
        <v>2400000</v>
      </c>
      <c r="V29" s="42">
        <v>42800</v>
      </c>
      <c r="W29" s="31">
        <v>35000</v>
      </c>
      <c r="X29" s="42">
        <v>25.299999999999997</v>
      </c>
      <c r="Y29" s="41">
        <v>41.1</v>
      </c>
      <c r="Z29" s="42">
        <v>123000</v>
      </c>
      <c r="AA29" s="42">
        <v>26800000000</v>
      </c>
      <c r="AB29" s="41">
        <v>1</v>
      </c>
      <c r="AC29" s="42">
        <v>1</v>
      </c>
      <c r="AD29" s="42">
        <v>1</v>
      </c>
      <c r="AE29" s="41">
        <v>1</v>
      </c>
      <c r="AF29" s="42">
        <v>2</v>
      </c>
      <c r="AG29" s="42">
        <v>2</v>
      </c>
    </row>
    <row r="30" spans="1:33" x14ac:dyDescent="0.45">
      <c r="A30" s="29" t="s">
        <v>73</v>
      </c>
      <c r="B30" s="27">
        <v>24.9</v>
      </c>
      <c r="C30" s="26">
        <v>236.4</v>
      </c>
      <c r="D30" s="27">
        <v>120</v>
      </c>
      <c r="E30" s="27">
        <v>4.8</v>
      </c>
      <c r="F30" s="27">
        <v>8</v>
      </c>
      <c r="G30" s="27">
        <v>15</v>
      </c>
      <c r="H30" s="26">
        <v>3170</v>
      </c>
      <c r="I30" s="26">
        <v>220.4</v>
      </c>
      <c r="J30" s="27">
        <v>190.4</v>
      </c>
      <c r="K30" s="28" t="s">
        <v>68</v>
      </c>
      <c r="L30" s="27">
        <v>64</v>
      </c>
      <c r="M30" s="27">
        <v>68</v>
      </c>
      <c r="N30" s="26">
        <v>0.91700000000000004</v>
      </c>
      <c r="O30" s="27">
        <v>36.86</v>
      </c>
      <c r="P30" s="26">
        <v>31540000</v>
      </c>
      <c r="Q30" s="27">
        <v>267000</v>
      </c>
      <c r="R30" s="27">
        <v>298000</v>
      </c>
      <c r="S30" s="27">
        <v>99.7</v>
      </c>
      <c r="T30" s="27">
        <v>1530</v>
      </c>
      <c r="U30" s="26">
        <v>2310000</v>
      </c>
      <c r="V30" s="27">
        <v>38600</v>
      </c>
      <c r="W30" s="31">
        <v>35000</v>
      </c>
      <c r="X30" s="27">
        <v>27</v>
      </c>
      <c r="Y30" s="26">
        <v>38.4</v>
      </c>
      <c r="Z30" s="27">
        <v>73300</v>
      </c>
      <c r="AA30" s="27">
        <v>30100000000</v>
      </c>
      <c r="AB30" s="26">
        <v>1</v>
      </c>
      <c r="AC30" s="27">
        <v>1</v>
      </c>
      <c r="AD30" s="28" t="s">
        <v>34</v>
      </c>
      <c r="AE30" s="26">
        <v>3</v>
      </c>
      <c r="AF30" s="27">
        <v>4</v>
      </c>
      <c r="AG30" s="28" t="s">
        <v>34</v>
      </c>
    </row>
    <row r="31" spans="1:33" x14ac:dyDescent="0.45">
      <c r="A31" s="43" t="s">
        <v>74</v>
      </c>
      <c r="B31" s="31">
        <v>26.2</v>
      </c>
      <c r="C31" s="30">
        <v>237</v>
      </c>
      <c r="D31" s="31">
        <v>120</v>
      </c>
      <c r="E31" s="31">
        <v>5.2</v>
      </c>
      <c r="F31" s="31">
        <v>8.3000000000000007</v>
      </c>
      <c r="G31" s="31">
        <v>15</v>
      </c>
      <c r="H31" s="30">
        <v>3329.9999999999995</v>
      </c>
      <c r="I31" s="30">
        <v>220.4</v>
      </c>
      <c r="J31" s="31">
        <v>190.4</v>
      </c>
      <c r="K31" s="32" t="s">
        <v>70</v>
      </c>
      <c r="L31" s="31">
        <v>64</v>
      </c>
      <c r="M31" s="31">
        <v>68</v>
      </c>
      <c r="N31" s="30">
        <v>0.91800000000000004</v>
      </c>
      <c r="O31" s="31">
        <v>35.1</v>
      </c>
      <c r="P31" s="30">
        <v>32900000</v>
      </c>
      <c r="Q31" s="31">
        <v>278000</v>
      </c>
      <c r="R31" s="31">
        <v>312000</v>
      </c>
      <c r="S31" s="31">
        <v>99.399999999999991</v>
      </c>
      <c r="T31" s="31">
        <v>1630</v>
      </c>
      <c r="U31" s="30">
        <v>2400000</v>
      </c>
      <c r="V31" s="31">
        <v>40000</v>
      </c>
      <c r="W31" s="31">
        <v>35000</v>
      </c>
      <c r="X31" s="31">
        <v>26.8</v>
      </c>
      <c r="Y31" s="30">
        <v>39.4</v>
      </c>
      <c r="Z31" s="31">
        <v>83500</v>
      </c>
      <c r="AA31" s="31">
        <v>31300000000</v>
      </c>
      <c r="AB31" s="30">
        <v>1</v>
      </c>
      <c r="AC31" s="31">
        <v>1</v>
      </c>
      <c r="AD31" s="31">
        <v>1</v>
      </c>
      <c r="AE31" s="30">
        <v>2</v>
      </c>
      <c r="AF31" s="31">
        <v>4</v>
      </c>
      <c r="AG31" s="31">
        <v>4</v>
      </c>
    </row>
    <row r="32" spans="1:33" x14ac:dyDescent="0.45">
      <c r="A32" s="40" t="s">
        <v>75</v>
      </c>
      <c r="B32" s="36">
        <v>30.7</v>
      </c>
      <c r="C32" s="35">
        <v>240</v>
      </c>
      <c r="D32" s="36">
        <v>120</v>
      </c>
      <c r="E32" s="36">
        <v>6.2</v>
      </c>
      <c r="F32" s="36">
        <v>9.8000000000000007</v>
      </c>
      <c r="G32" s="36">
        <v>15</v>
      </c>
      <c r="H32" s="35">
        <v>3910</v>
      </c>
      <c r="I32" s="35">
        <v>220.4</v>
      </c>
      <c r="J32" s="36">
        <v>190.4</v>
      </c>
      <c r="K32" s="37" t="s">
        <v>68</v>
      </c>
      <c r="L32" s="36">
        <v>66</v>
      </c>
      <c r="M32" s="36">
        <v>68</v>
      </c>
      <c r="N32" s="35">
        <v>0.92200000000000004</v>
      </c>
      <c r="O32" s="36">
        <v>30.02</v>
      </c>
      <c r="P32" s="35">
        <v>38920000</v>
      </c>
      <c r="Q32" s="36">
        <v>324000</v>
      </c>
      <c r="R32" s="36">
        <v>367000</v>
      </c>
      <c r="S32" s="36">
        <v>99.7</v>
      </c>
      <c r="T32" s="36">
        <v>1910.0000000000002</v>
      </c>
      <c r="U32" s="35">
        <v>2840000</v>
      </c>
      <c r="V32" s="36">
        <v>47300</v>
      </c>
      <c r="W32" s="31">
        <v>35000</v>
      </c>
      <c r="X32" s="36">
        <v>26.9</v>
      </c>
      <c r="Y32" s="35">
        <v>43.4</v>
      </c>
      <c r="Z32" s="36">
        <v>129000</v>
      </c>
      <c r="AA32" s="36">
        <v>37400000000</v>
      </c>
      <c r="AB32" s="35">
        <v>1</v>
      </c>
      <c r="AC32" s="36">
        <v>1</v>
      </c>
      <c r="AD32" s="36">
        <v>1</v>
      </c>
      <c r="AE32" s="35">
        <v>1</v>
      </c>
      <c r="AF32" s="36">
        <v>2</v>
      </c>
      <c r="AG32" s="36">
        <v>4</v>
      </c>
    </row>
    <row r="33" spans="1:33" x14ac:dyDescent="0.45">
      <c r="A33" s="43" t="s">
        <v>76</v>
      </c>
      <c r="B33" s="31">
        <v>34.299999999999997</v>
      </c>
      <c r="C33" s="30">
        <v>242</v>
      </c>
      <c r="D33" s="31">
        <v>122</v>
      </c>
      <c r="E33" s="31">
        <v>7</v>
      </c>
      <c r="F33" s="31">
        <v>10.8</v>
      </c>
      <c r="G33" s="31">
        <v>15</v>
      </c>
      <c r="H33" s="30">
        <v>4370</v>
      </c>
      <c r="I33" s="30">
        <v>220.4</v>
      </c>
      <c r="J33" s="31">
        <v>190.4</v>
      </c>
      <c r="K33" s="32" t="s">
        <v>70</v>
      </c>
      <c r="L33" s="31">
        <v>66</v>
      </c>
      <c r="M33" s="31">
        <v>70</v>
      </c>
      <c r="N33" s="30">
        <v>0.93200000000000005</v>
      </c>
      <c r="O33" s="31">
        <v>27.17</v>
      </c>
      <c r="P33" s="30">
        <v>43690000</v>
      </c>
      <c r="Q33" s="31">
        <v>361000</v>
      </c>
      <c r="R33" s="31">
        <v>410000</v>
      </c>
      <c r="S33" s="31">
        <v>100</v>
      </c>
      <c r="T33" s="31">
        <v>2140</v>
      </c>
      <c r="U33" s="30">
        <v>3290000</v>
      </c>
      <c r="V33" s="31">
        <v>53900</v>
      </c>
      <c r="W33" s="31">
        <v>35000</v>
      </c>
      <c r="X33" s="31">
        <v>27.400000000000002</v>
      </c>
      <c r="Y33" s="30">
        <v>46.2</v>
      </c>
      <c r="Z33" s="31">
        <v>172000</v>
      </c>
      <c r="AA33" s="31">
        <v>43700000000</v>
      </c>
      <c r="AB33" s="30">
        <v>1</v>
      </c>
      <c r="AC33" s="31">
        <v>1</v>
      </c>
      <c r="AD33" s="31">
        <v>1</v>
      </c>
      <c r="AE33" s="30">
        <v>1</v>
      </c>
      <c r="AF33" s="31">
        <v>2</v>
      </c>
      <c r="AG33" s="31">
        <v>3</v>
      </c>
    </row>
    <row r="34" spans="1:33" x14ac:dyDescent="0.45">
      <c r="A34" s="43" t="s">
        <v>77</v>
      </c>
      <c r="B34" s="31">
        <v>30.7</v>
      </c>
      <c r="C34" s="30">
        <v>267</v>
      </c>
      <c r="D34" s="31">
        <v>135</v>
      </c>
      <c r="E34" s="31">
        <v>5.5</v>
      </c>
      <c r="F34" s="31">
        <v>8.6999999999999993</v>
      </c>
      <c r="G34" s="31">
        <v>15</v>
      </c>
      <c r="H34" s="30">
        <v>3920.0000000000005</v>
      </c>
      <c r="I34" s="30">
        <v>249.6</v>
      </c>
      <c r="J34" s="31">
        <v>219.6</v>
      </c>
      <c r="K34" s="32" t="s">
        <v>78</v>
      </c>
      <c r="L34" s="31">
        <v>70</v>
      </c>
      <c r="M34" s="31">
        <v>72</v>
      </c>
      <c r="N34" s="30">
        <v>1.0369999999999999</v>
      </c>
      <c r="O34" s="31">
        <v>33.75</v>
      </c>
      <c r="P34" s="30">
        <v>49170000</v>
      </c>
      <c r="Q34" s="31">
        <v>368000</v>
      </c>
      <c r="R34" s="31">
        <v>413000</v>
      </c>
      <c r="S34" s="31">
        <v>112</v>
      </c>
      <c r="T34" s="31">
        <v>1880</v>
      </c>
      <c r="U34" s="30">
        <v>3580000</v>
      </c>
      <c r="V34" s="31">
        <v>53000</v>
      </c>
      <c r="W34" s="31">
        <v>35000</v>
      </c>
      <c r="X34" s="31">
        <v>30.2</v>
      </c>
      <c r="Y34" s="30">
        <v>40.5</v>
      </c>
      <c r="Z34" s="31">
        <v>103000</v>
      </c>
      <c r="AA34" s="31">
        <v>59500000000</v>
      </c>
      <c r="AB34" s="30">
        <v>1</v>
      </c>
      <c r="AC34" s="31">
        <v>1</v>
      </c>
      <c r="AD34" s="31">
        <v>1</v>
      </c>
      <c r="AE34" s="30">
        <v>3</v>
      </c>
      <c r="AF34" s="31">
        <v>4</v>
      </c>
      <c r="AG34" s="31">
        <v>4</v>
      </c>
    </row>
    <row r="35" spans="1:33" x14ac:dyDescent="0.45">
      <c r="A35" s="40" t="s">
        <v>79</v>
      </c>
      <c r="B35" s="36">
        <v>36.1</v>
      </c>
      <c r="C35" s="35">
        <v>270</v>
      </c>
      <c r="D35" s="36">
        <v>135</v>
      </c>
      <c r="E35" s="36">
        <v>6.6</v>
      </c>
      <c r="F35" s="36">
        <v>10.199999999999999</v>
      </c>
      <c r="G35" s="36">
        <v>15</v>
      </c>
      <c r="H35" s="35">
        <v>4590</v>
      </c>
      <c r="I35" s="35">
        <v>249.6</v>
      </c>
      <c r="J35" s="36">
        <v>219.6</v>
      </c>
      <c r="K35" s="37" t="s">
        <v>80</v>
      </c>
      <c r="L35" s="36">
        <v>72</v>
      </c>
      <c r="M35" s="36">
        <v>72</v>
      </c>
      <c r="N35" s="35">
        <v>1.0409999999999999</v>
      </c>
      <c r="O35" s="36">
        <v>28.86</v>
      </c>
      <c r="P35" s="35">
        <v>57900000</v>
      </c>
      <c r="Q35" s="36">
        <v>429000</v>
      </c>
      <c r="R35" s="36">
        <v>484000</v>
      </c>
      <c r="S35" s="36">
        <v>112</v>
      </c>
      <c r="T35" s="36">
        <v>2210</v>
      </c>
      <c r="U35" s="35">
        <v>4200000</v>
      </c>
      <c r="V35" s="36">
        <v>62200</v>
      </c>
      <c r="W35" s="31">
        <v>35000</v>
      </c>
      <c r="X35" s="36">
        <v>30.2</v>
      </c>
      <c r="Y35" s="35">
        <v>44.6</v>
      </c>
      <c r="Z35" s="36">
        <v>159000</v>
      </c>
      <c r="AA35" s="36">
        <v>70600000000</v>
      </c>
      <c r="AB35" s="35">
        <v>1</v>
      </c>
      <c r="AC35" s="36">
        <v>1</v>
      </c>
      <c r="AD35" s="36">
        <v>1</v>
      </c>
      <c r="AE35" s="35">
        <v>2</v>
      </c>
      <c r="AF35" s="36">
        <v>3</v>
      </c>
      <c r="AG35" s="36">
        <v>4</v>
      </c>
    </row>
    <row r="36" spans="1:33" x14ac:dyDescent="0.45">
      <c r="A36" s="43" t="s">
        <v>81</v>
      </c>
      <c r="B36" s="31">
        <v>42.3</v>
      </c>
      <c r="C36" s="30">
        <v>274</v>
      </c>
      <c r="D36" s="31">
        <v>136</v>
      </c>
      <c r="E36" s="31">
        <v>7.5</v>
      </c>
      <c r="F36" s="31">
        <v>12.2</v>
      </c>
      <c r="G36" s="31">
        <v>15</v>
      </c>
      <c r="H36" s="30">
        <v>5380</v>
      </c>
      <c r="I36" s="30">
        <v>249.6</v>
      </c>
      <c r="J36" s="31">
        <v>219.6</v>
      </c>
      <c r="K36" s="32" t="s">
        <v>78</v>
      </c>
      <c r="L36" s="31">
        <v>72</v>
      </c>
      <c r="M36" s="31">
        <v>72</v>
      </c>
      <c r="N36" s="30">
        <v>1.0509999999999999</v>
      </c>
      <c r="O36" s="31">
        <v>24.88</v>
      </c>
      <c r="P36" s="30">
        <v>69470000</v>
      </c>
      <c r="Q36" s="31">
        <v>507000</v>
      </c>
      <c r="R36" s="31">
        <v>575000</v>
      </c>
      <c r="S36" s="31">
        <v>114</v>
      </c>
      <c r="T36" s="31">
        <v>2520</v>
      </c>
      <c r="U36" s="30">
        <v>5140000</v>
      </c>
      <c r="V36" s="31">
        <v>75500</v>
      </c>
      <c r="W36" s="31">
        <v>35000</v>
      </c>
      <c r="X36" s="31">
        <v>30.9</v>
      </c>
      <c r="Y36" s="30">
        <v>49.5</v>
      </c>
      <c r="Z36" s="31">
        <v>249000</v>
      </c>
      <c r="AA36" s="31">
        <v>87600000000</v>
      </c>
      <c r="AB36" s="30">
        <v>1</v>
      </c>
      <c r="AC36" s="31">
        <v>1</v>
      </c>
      <c r="AD36" s="31">
        <v>1</v>
      </c>
      <c r="AE36" s="30">
        <v>1</v>
      </c>
      <c r="AF36" s="31">
        <v>2</v>
      </c>
      <c r="AG36" s="31">
        <v>3</v>
      </c>
    </row>
    <row r="37" spans="1:33" x14ac:dyDescent="0.45">
      <c r="A37" s="43" t="s">
        <v>82</v>
      </c>
      <c r="B37" s="31">
        <v>36.5</v>
      </c>
      <c r="C37" s="30">
        <v>297</v>
      </c>
      <c r="D37" s="31">
        <v>150</v>
      </c>
      <c r="E37" s="31">
        <v>6.1</v>
      </c>
      <c r="F37" s="31">
        <v>9.1999999999999993</v>
      </c>
      <c r="G37" s="31">
        <v>15</v>
      </c>
      <c r="H37" s="30">
        <v>4650</v>
      </c>
      <c r="I37" s="30">
        <v>278.60000000000002</v>
      </c>
      <c r="J37" s="31">
        <v>248.6</v>
      </c>
      <c r="K37" s="32" t="s">
        <v>78</v>
      </c>
      <c r="L37" s="31">
        <v>72</v>
      </c>
      <c r="M37" s="31">
        <v>86</v>
      </c>
      <c r="N37" s="30">
        <v>1.1559999999999999</v>
      </c>
      <c r="O37" s="31">
        <v>31.65</v>
      </c>
      <c r="P37" s="30">
        <v>71730000</v>
      </c>
      <c r="Q37" s="31">
        <v>483000</v>
      </c>
      <c r="R37" s="31">
        <v>542000</v>
      </c>
      <c r="S37" s="31">
        <v>124</v>
      </c>
      <c r="T37" s="31">
        <v>2230</v>
      </c>
      <c r="U37" s="30">
        <v>5190000</v>
      </c>
      <c r="V37" s="31">
        <v>69200</v>
      </c>
      <c r="W37" s="31">
        <v>35000</v>
      </c>
      <c r="X37" s="31">
        <v>33.4</v>
      </c>
      <c r="Y37" s="30">
        <v>42.1</v>
      </c>
      <c r="Z37" s="31">
        <v>134000</v>
      </c>
      <c r="AA37" s="31">
        <v>107000000000</v>
      </c>
      <c r="AB37" s="30">
        <v>1</v>
      </c>
      <c r="AC37" s="31">
        <v>1</v>
      </c>
      <c r="AD37" s="31">
        <v>1</v>
      </c>
      <c r="AE37" s="30">
        <v>3</v>
      </c>
      <c r="AF37" s="31">
        <v>4</v>
      </c>
      <c r="AG37" s="31">
        <v>4</v>
      </c>
    </row>
    <row r="38" spans="1:33" x14ac:dyDescent="0.45">
      <c r="A38" s="40" t="s">
        <v>83</v>
      </c>
      <c r="B38" s="36">
        <v>42.2</v>
      </c>
      <c r="C38" s="35">
        <v>300</v>
      </c>
      <c r="D38" s="36">
        <v>150</v>
      </c>
      <c r="E38" s="36">
        <v>7.1</v>
      </c>
      <c r="F38" s="36">
        <v>10.7</v>
      </c>
      <c r="G38" s="36">
        <v>15</v>
      </c>
      <c r="H38" s="35">
        <v>5380</v>
      </c>
      <c r="I38" s="35">
        <v>278.60000000000002</v>
      </c>
      <c r="J38" s="36">
        <v>248.6</v>
      </c>
      <c r="K38" s="37" t="s">
        <v>80</v>
      </c>
      <c r="L38" s="36">
        <v>72</v>
      </c>
      <c r="M38" s="36">
        <v>86</v>
      </c>
      <c r="N38" s="35">
        <v>1.1599999999999999</v>
      </c>
      <c r="O38" s="36">
        <v>27.46</v>
      </c>
      <c r="P38" s="35">
        <v>83560000</v>
      </c>
      <c r="Q38" s="36">
        <v>557000</v>
      </c>
      <c r="R38" s="36">
        <v>628000</v>
      </c>
      <c r="S38" s="36">
        <v>125</v>
      </c>
      <c r="T38" s="36">
        <v>2570</v>
      </c>
      <c r="U38" s="35">
        <v>6040000</v>
      </c>
      <c r="V38" s="36">
        <v>80500</v>
      </c>
      <c r="W38" s="31">
        <v>35000</v>
      </c>
      <c r="X38" s="36">
        <v>33.5</v>
      </c>
      <c r="Y38" s="35">
        <v>46.1</v>
      </c>
      <c r="Z38" s="36">
        <v>201000</v>
      </c>
      <c r="AA38" s="36">
        <v>126000000000</v>
      </c>
      <c r="AB38" s="35">
        <v>1</v>
      </c>
      <c r="AC38" s="36">
        <v>1</v>
      </c>
      <c r="AD38" s="36">
        <v>1</v>
      </c>
      <c r="AE38" s="35">
        <v>2</v>
      </c>
      <c r="AF38" s="36">
        <v>4</v>
      </c>
      <c r="AG38" s="36">
        <v>4</v>
      </c>
    </row>
    <row r="39" spans="1:33" x14ac:dyDescent="0.45">
      <c r="A39" s="43" t="s">
        <v>84</v>
      </c>
      <c r="B39" s="31">
        <v>49.3</v>
      </c>
      <c r="C39" s="30">
        <v>304</v>
      </c>
      <c r="D39" s="31">
        <v>152</v>
      </c>
      <c r="E39" s="31">
        <v>8</v>
      </c>
      <c r="F39" s="31">
        <v>12.7</v>
      </c>
      <c r="G39" s="31">
        <v>15</v>
      </c>
      <c r="H39" s="30">
        <v>6280</v>
      </c>
      <c r="I39" s="30">
        <v>278.60000000000002</v>
      </c>
      <c r="J39" s="31">
        <v>248.6</v>
      </c>
      <c r="K39" s="32" t="s">
        <v>78</v>
      </c>
      <c r="L39" s="31">
        <v>74</v>
      </c>
      <c r="M39" s="31">
        <v>88</v>
      </c>
      <c r="N39" s="30">
        <v>1.1739999999999999</v>
      </c>
      <c r="O39" s="31">
        <v>23.81</v>
      </c>
      <c r="P39" s="30">
        <v>99940000</v>
      </c>
      <c r="Q39" s="31">
        <v>658000</v>
      </c>
      <c r="R39" s="31">
        <v>744000</v>
      </c>
      <c r="S39" s="31">
        <v>126</v>
      </c>
      <c r="T39" s="31">
        <v>2910</v>
      </c>
      <c r="U39" s="30">
        <v>7460000</v>
      </c>
      <c r="V39" s="31">
        <v>98100</v>
      </c>
      <c r="W39" s="31">
        <v>35000</v>
      </c>
      <c r="X39" s="31">
        <v>34.5</v>
      </c>
      <c r="Y39" s="30">
        <v>51</v>
      </c>
      <c r="Z39" s="31">
        <v>311000</v>
      </c>
      <c r="AA39" s="31">
        <v>158000000000</v>
      </c>
      <c r="AB39" s="30">
        <v>1</v>
      </c>
      <c r="AC39" s="31">
        <v>1</v>
      </c>
      <c r="AD39" s="31">
        <v>1</v>
      </c>
      <c r="AE39" s="30">
        <v>1</v>
      </c>
      <c r="AF39" s="31">
        <v>3</v>
      </c>
      <c r="AG39" s="31">
        <v>4</v>
      </c>
    </row>
    <row r="40" spans="1:33" x14ac:dyDescent="0.45">
      <c r="A40" s="43" t="s">
        <v>85</v>
      </c>
      <c r="B40" s="31">
        <v>43</v>
      </c>
      <c r="C40" s="30">
        <v>327</v>
      </c>
      <c r="D40" s="31">
        <v>160</v>
      </c>
      <c r="E40" s="31">
        <v>6.5</v>
      </c>
      <c r="F40" s="31">
        <v>10</v>
      </c>
      <c r="G40" s="31">
        <v>18</v>
      </c>
      <c r="H40" s="30">
        <v>5470</v>
      </c>
      <c r="I40" s="30">
        <v>307</v>
      </c>
      <c r="J40" s="31">
        <v>271</v>
      </c>
      <c r="K40" s="32" t="s">
        <v>78</v>
      </c>
      <c r="L40" s="31">
        <v>78</v>
      </c>
      <c r="M40" s="31">
        <v>96</v>
      </c>
      <c r="N40" s="30">
        <v>1.25</v>
      </c>
      <c r="O40" s="31">
        <v>29.09</v>
      </c>
      <c r="P40" s="30">
        <v>102300000</v>
      </c>
      <c r="Q40" s="31">
        <v>626000</v>
      </c>
      <c r="R40" s="31">
        <v>702000</v>
      </c>
      <c r="S40" s="31">
        <v>137</v>
      </c>
      <c r="T40" s="31">
        <v>2700</v>
      </c>
      <c r="U40" s="30">
        <v>6850000</v>
      </c>
      <c r="V40" s="31">
        <v>85600</v>
      </c>
      <c r="W40" s="31">
        <v>35000</v>
      </c>
      <c r="X40" s="31">
        <v>35.4</v>
      </c>
      <c r="Y40" s="30">
        <v>47.6</v>
      </c>
      <c r="Z40" s="31">
        <v>196000</v>
      </c>
      <c r="AA40" s="31">
        <v>172000000000</v>
      </c>
      <c r="AB40" s="30">
        <v>1</v>
      </c>
      <c r="AC40" s="31">
        <v>1</v>
      </c>
      <c r="AD40" s="31">
        <v>1</v>
      </c>
      <c r="AE40" s="30">
        <v>3</v>
      </c>
      <c r="AF40" s="31">
        <v>4</v>
      </c>
      <c r="AG40" s="31">
        <v>4</v>
      </c>
    </row>
    <row r="41" spans="1:33" x14ac:dyDescent="0.45">
      <c r="A41" s="40" t="s">
        <v>86</v>
      </c>
      <c r="B41" s="36">
        <v>49.1</v>
      </c>
      <c r="C41" s="35">
        <v>330</v>
      </c>
      <c r="D41" s="36">
        <v>160</v>
      </c>
      <c r="E41" s="36">
        <v>7.5</v>
      </c>
      <c r="F41" s="36">
        <v>11.5</v>
      </c>
      <c r="G41" s="36">
        <v>18</v>
      </c>
      <c r="H41" s="35">
        <v>6260</v>
      </c>
      <c r="I41" s="35">
        <v>307</v>
      </c>
      <c r="J41" s="36">
        <v>271</v>
      </c>
      <c r="K41" s="37" t="s">
        <v>80</v>
      </c>
      <c r="L41" s="36">
        <v>78</v>
      </c>
      <c r="M41" s="36">
        <v>96</v>
      </c>
      <c r="N41" s="35">
        <v>1.254</v>
      </c>
      <c r="O41" s="36">
        <v>25.52</v>
      </c>
      <c r="P41" s="35">
        <v>117700000</v>
      </c>
      <c r="Q41" s="36">
        <v>713000</v>
      </c>
      <c r="R41" s="36">
        <v>804000</v>
      </c>
      <c r="S41" s="36">
        <v>137</v>
      </c>
      <c r="T41" s="36">
        <v>3080</v>
      </c>
      <c r="U41" s="35">
        <v>7880000</v>
      </c>
      <c r="V41" s="36">
        <v>98500</v>
      </c>
      <c r="W41" s="31">
        <v>35000</v>
      </c>
      <c r="X41" s="36">
        <v>35.5</v>
      </c>
      <c r="Y41" s="35">
        <v>51.6</v>
      </c>
      <c r="Z41" s="36">
        <v>282000</v>
      </c>
      <c r="AA41" s="36">
        <v>199000000000</v>
      </c>
      <c r="AB41" s="35">
        <v>1</v>
      </c>
      <c r="AC41" s="36">
        <v>1</v>
      </c>
      <c r="AD41" s="36">
        <v>1</v>
      </c>
      <c r="AE41" s="35">
        <v>2</v>
      </c>
      <c r="AF41" s="36">
        <v>4</v>
      </c>
      <c r="AG41" s="36">
        <v>4</v>
      </c>
    </row>
    <row r="42" spans="1:33" x14ac:dyDescent="0.45">
      <c r="A42" s="43" t="s">
        <v>87</v>
      </c>
      <c r="B42" s="31">
        <v>57</v>
      </c>
      <c r="C42" s="30">
        <v>334</v>
      </c>
      <c r="D42" s="31">
        <v>162</v>
      </c>
      <c r="E42" s="31">
        <v>8.5</v>
      </c>
      <c r="F42" s="31">
        <v>13.5</v>
      </c>
      <c r="G42" s="31">
        <v>18</v>
      </c>
      <c r="H42" s="30">
        <v>7259.9999999999991</v>
      </c>
      <c r="I42" s="30">
        <v>307</v>
      </c>
      <c r="J42" s="31">
        <v>271</v>
      </c>
      <c r="K42" s="32" t="s">
        <v>78</v>
      </c>
      <c r="L42" s="31">
        <v>80</v>
      </c>
      <c r="M42" s="31">
        <v>98</v>
      </c>
      <c r="N42" s="30">
        <v>1.268</v>
      </c>
      <c r="O42" s="31">
        <v>22.24</v>
      </c>
      <c r="P42" s="30">
        <v>139100000</v>
      </c>
      <c r="Q42" s="31">
        <v>833000</v>
      </c>
      <c r="R42" s="31">
        <v>943000</v>
      </c>
      <c r="S42" s="31">
        <v>138</v>
      </c>
      <c r="T42" s="31">
        <v>3490</v>
      </c>
      <c r="U42" s="30">
        <v>9600000</v>
      </c>
      <c r="V42" s="31">
        <v>119000</v>
      </c>
      <c r="W42" s="31">
        <v>35000</v>
      </c>
      <c r="X42" s="31">
        <v>36.4</v>
      </c>
      <c r="Y42" s="30">
        <v>56.6</v>
      </c>
      <c r="Z42" s="31">
        <v>422000</v>
      </c>
      <c r="AA42" s="31">
        <v>246000000000</v>
      </c>
      <c r="AB42" s="30">
        <v>1</v>
      </c>
      <c r="AC42" s="31">
        <v>1</v>
      </c>
      <c r="AD42" s="31">
        <v>1</v>
      </c>
      <c r="AE42" s="30">
        <v>1</v>
      </c>
      <c r="AF42" s="31">
        <v>3</v>
      </c>
      <c r="AG42" s="31">
        <v>4</v>
      </c>
    </row>
    <row r="43" spans="1:33" x14ac:dyDescent="0.45">
      <c r="A43" s="43" t="s">
        <v>88</v>
      </c>
      <c r="B43" s="31">
        <v>50.2</v>
      </c>
      <c r="C43" s="30">
        <v>357.6</v>
      </c>
      <c r="D43" s="31">
        <v>170</v>
      </c>
      <c r="E43" s="31">
        <v>6.6</v>
      </c>
      <c r="F43" s="31">
        <v>11.5</v>
      </c>
      <c r="G43" s="31">
        <v>18</v>
      </c>
      <c r="H43" s="30">
        <v>6400</v>
      </c>
      <c r="I43" s="30">
        <v>334.6</v>
      </c>
      <c r="J43" s="31">
        <v>298.60000000000002</v>
      </c>
      <c r="K43" s="32" t="s">
        <v>89</v>
      </c>
      <c r="L43" s="31">
        <v>86</v>
      </c>
      <c r="M43" s="31">
        <v>88</v>
      </c>
      <c r="N43" s="30">
        <v>1.351</v>
      </c>
      <c r="O43" s="31">
        <v>26.91</v>
      </c>
      <c r="P43" s="30">
        <v>145200000</v>
      </c>
      <c r="Q43" s="31">
        <v>812000</v>
      </c>
      <c r="R43" s="31">
        <v>907000</v>
      </c>
      <c r="S43" s="31">
        <v>151</v>
      </c>
      <c r="T43" s="31">
        <v>2980</v>
      </c>
      <c r="U43" s="30">
        <v>9440000</v>
      </c>
      <c r="V43" s="31">
        <v>111000</v>
      </c>
      <c r="W43" s="31">
        <v>35000</v>
      </c>
      <c r="X43" s="31">
        <v>38.4</v>
      </c>
      <c r="Y43" s="30">
        <v>50.7</v>
      </c>
      <c r="Z43" s="31">
        <v>265000</v>
      </c>
      <c r="AA43" s="31">
        <v>282000000000</v>
      </c>
      <c r="AB43" s="30">
        <v>1</v>
      </c>
      <c r="AC43" s="31">
        <v>1</v>
      </c>
      <c r="AD43" s="31">
        <v>1</v>
      </c>
      <c r="AE43" s="30">
        <v>4</v>
      </c>
      <c r="AF43" s="31">
        <v>4</v>
      </c>
      <c r="AG43" s="31">
        <v>4</v>
      </c>
    </row>
    <row r="44" spans="1:33" x14ac:dyDescent="0.45">
      <c r="A44" s="40" t="s">
        <v>90</v>
      </c>
      <c r="B44" s="36">
        <v>57.1</v>
      </c>
      <c r="C44" s="35">
        <v>360</v>
      </c>
      <c r="D44" s="36">
        <v>170</v>
      </c>
      <c r="E44" s="36">
        <v>8</v>
      </c>
      <c r="F44" s="36">
        <v>12.7</v>
      </c>
      <c r="G44" s="36">
        <v>18</v>
      </c>
      <c r="H44" s="35">
        <v>7270</v>
      </c>
      <c r="I44" s="35">
        <v>334.6</v>
      </c>
      <c r="J44" s="36">
        <v>298.60000000000002</v>
      </c>
      <c r="K44" s="37" t="s">
        <v>91</v>
      </c>
      <c r="L44" s="36">
        <v>88</v>
      </c>
      <c r="M44" s="36">
        <v>88</v>
      </c>
      <c r="N44" s="35">
        <v>1.353</v>
      </c>
      <c r="O44" s="36">
        <v>23.7</v>
      </c>
      <c r="P44" s="35">
        <v>162700000</v>
      </c>
      <c r="Q44" s="36">
        <v>904000</v>
      </c>
      <c r="R44" s="36">
        <v>1019000</v>
      </c>
      <c r="S44" s="36">
        <v>150</v>
      </c>
      <c r="T44" s="36">
        <v>3510</v>
      </c>
      <c r="U44" s="35">
        <v>10430000</v>
      </c>
      <c r="V44" s="36">
        <v>123000</v>
      </c>
      <c r="W44" s="31">
        <v>35000</v>
      </c>
      <c r="X44" s="36">
        <v>37.9</v>
      </c>
      <c r="Y44" s="35">
        <v>54.5</v>
      </c>
      <c r="Z44" s="36">
        <v>373000</v>
      </c>
      <c r="AA44" s="36">
        <v>314000000000</v>
      </c>
      <c r="AB44" s="35">
        <v>1</v>
      </c>
      <c r="AC44" s="36">
        <v>1</v>
      </c>
      <c r="AD44" s="36">
        <v>1</v>
      </c>
      <c r="AE44" s="35">
        <v>2</v>
      </c>
      <c r="AF44" s="36">
        <v>4</v>
      </c>
      <c r="AG44" s="36">
        <v>4</v>
      </c>
    </row>
    <row r="45" spans="1:33" x14ac:dyDescent="0.45">
      <c r="A45" s="43" t="s">
        <v>92</v>
      </c>
      <c r="B45" s="31">
        <v>66</v>
      </c>
      <c r="C45" s="30">
        <v>364</v>
      </c>
      <c r="D45" s="31">
        <v>172</v>
      </c>
      <c r="E45" s="31">
        <v>9.1999999999999993</v>
      </c>
      <c r="F45" s="31">
        <v>14.7</v>
      </c>
      <c r="G45" s="31">
        <v>18</v>
      </c>
      <c r="H45" s="30">
        <v>8410</v>
      </c>
      <c r="I45" s="30">
        <v>334.6</v>
      </c>
      <c r="J45" s="31">
        <v>298.60000000000002</v>
      </c>
      <c r="K45" s="32" t="s">
        <v>89</v>
      </c>
      <c r="L45" s="31">
        <v>90</v>
      </c>
      <c r="M45" s="31">
        <v>90</v>
      </c>
      <c r="N45" s="30">
        <v>1.367</v>
      </c>
      <c r="O45" s="31">
        <v>20.69</v>
      </c>
      <c r="P45" s="30">
        <v>190500000</v>
      </c>
      <c r="Q45" s="31">
        <v>1047000</v>
      </c>
      <c r="R45" s="31">
        <v>1186000</v>
      </c>
      <c r="S45" s="31">
        <v>151</v>
      </c>
      <c r="T45" s="31">
        <v>4020.0000000000005</v>
      </c>
      <c r="U45" s="30">
        <v>12510000</v>
      </c>
      <c r="V45" s="31">
        <v>146000</v>
      </c>
      <c r="W45" s="31">
        <v>35000</v>
      </c>
      <c r="X45" s="31">
        <v>38.6</v>
      </c>
      <c r="Y45" s="30">
        <v>59.7</v>
      </c>
      <c r="Z45" s="31">
        <v>558000</v>
      </c>
      <c r="AA45" s="31">
        <v>380000000000</v>
      </c>
      <c r="AB45" s="30">
        <v>1</v>
      </c>
      <c r="AC45" s="31">
        <v>1</v>
      </c>
      <c r="AD45" s="31">
        <v>1</v>
      </c>
      <c r="AE45" s="30">
        <v>1</v>
      </c>
      <c r="AF45" s="31">
        <v>3</v>
      </c>
      <c r="AG45" s="31">
        <v>4</v>
      </c>
    </row>
    <row r="46" spans="1:33" x14ac:dyDescent="0.45">
      <c r="A46" s="43" t="s">
        <v>93</v>
      </c>
      <c r="B46" s="31">
        <v>57.4</v>
      </c>
      <c r="C46" s="30">
        <v>397</v>
      </c>
      <c r="D46" s="31">
        <v>180</v>
      </c>
      <c r="E46" s="31">
        <v>7</v>
      </c>
      <c r="F46" s="31">
        <v>12</v>
      </c>
      <c r="G46" s="31">
        <v>21</v>
      </c>
      <c r="H46" s="30">
        <v>7309.9999999999991</v>
      </c>
      <c r="I46" s="30">
        <v>373</v>
      </c>
      <c r="J46" s="31">
        <v>331</v>
      </c>
      <c r="K46" s="32" t="s">
        <v>89</v>
      </c>
      <c r="L46" s="31">
        <v>94</v>
      </c>
      <c r="M46" s="31">
        <v>98</v>
      </c>
      <c r="N46" s="30">
        <v>1.464</v>
      </c>
      <c r="O46" s="31">
        <v>25.51</v>
      </c>
      <c r="P46" s="30">
        <v>202900000</v>
      </c>
      <c r="Q46" s="31">
        <v>1022000</v>
      </c>
      <c r="R46" s="31">
        <v>1144000</v>
      </c>
      <c r="S46" s="31">
        <v>167</v>
      </c>
      <c r="T46" s="31">
        <v>3579.9999999999995</v>
      </c>
      <c r="U46" s="30">
        <v>11710000</v>
      </c>
      <c r="V46" s="31">
        <v>130000</v>
      </c>
      <c r="W46" s="31">
        <v>35000</v>
      </c>
      <c r="X46" s="31">
        <v>40</v>
      </c>
      <c r="Y46" s="30">
        <v>55.6</v>
      </c>
      <c r="Z46" s="31">
        <v>348000</v>
      </c>
      <c r="AA46" s="31">
        <v>432000000000</v>
      </c>
      <c r="AB46" s="30">
        <v>1</v>
      </c>
      <c r="AC46" s="31">
        <v>1</v>
      </c>
      <c r="AD46" s="31">
        <v>1</v>
      </c>
      <c r="AE46" s="30">
        <v>4</v>
      </c>
      <c r="AF46" s="31">
        <v>4</v>
      </c>
      <c r="AG46" s="31">
        <v>4</v>
      </c>
    </row>
    <row r="47" spans="1:33" x14ac:dyDescent="0.45">
      <c r="A47" s="40" t="s">
        <v>94</v>
      </c>
      <c r="B47" s="36">
        <v>66.3</v>
      </c>
      <c r="C47" s="35">
        <v>400</v>
      </c>
      <c r="D47" s="36">
        <v>180</v>
      </c>
      <c r="E47" s="36">
        <v>8.6</v>
      </c>
      <c r="F47" s="36">
        <v>13.5</v>
      </c>
      <c r="G47" s="36">
        <v>21</v>
      </c>
      <c r="H47" s="35">
        <v>8450</v>
      </c>
      <c r="I47" s="35">
        <v>373</v>
      </c>
      <c r="J47" s="36">
        <v>331</v>
      </c>
      <c r="K47" s="37" t="s">
        <v>91</v>
      </c>
      <c r="L47" s="36">
        <v>96</v>
      </c>
      <c r="M47" s="36">
        <v>98</v>
      </c>
      <c r="N47" s="35">
        <v>1.4670000000000001</v>
      </c>
      <c r="O47" s="36">
        <v>22.12</v>
      </c>
      <c r="P47" s="35">
        <v>231300000</v>
      </c>
      <c r="Q47" s="36">
        <v>1160000</v>
      </c>
      <c r="R47" s="36">
        <v>1307000</v>
      </c>
      <c r="S47" s="36">
        <v>166</v>
      </c>
      <c r="T47" s="36">
        <v>4270</v>
      </c>
      <c r="U47" s="35">
        <v>13180000</v>
      </c>
      <c r="V47" s="36">
        <v>146000</v>
      </c>
      <c r="W47" s="31">
        <v>35000</v>
      </c>
      <c r="X47" s="36">
        <v>39.5</v>
      </c>
      <c r="Y47" s="35">
        <v>60.2</v>
      </c>
      <c r="Z47" s="36">
        <v>511000</v>
      </c>
      <c r="AA47" s="36">
        <v>490000000000</v>
      </c>
      <c r="AB47" s="35">
        <v>1</v>
      </c>
      <c r="AC47" s="36">
        <v>1</v>
      </c>
      <c r="AD47" s="36">
        <v>1</v>
      </c>
      <c r="AE47" s="35">
        <v>3</v>
      </c>
      <c r="AF47" s="36">
        <v>4</v>
      </c>
      <c r="AG47" s="36">
        <v>4</v>
      </c>
    </row>
    <row r="48" spans="1:33" x14ac:dyDescent="0.45">
      <c r="A48" s="43" t="s">
        <v>95</v>
      </c>
      <c r="B48" s="31">
        <v>75.7</v>
      </c>
      <c r="C48" s="30">
        <v>404</v>
      </c>
      <c r="D48" s="31">
        <v>182</v>
      </c>
      <c r="E48" s="31">
        <v>9.6999999999999993</v>
      </c>
      <c r="F48" s="31">
        <v>15.5</v>
      </c>
      <c r="G48" s="31">
        <v>21</v>
      </c>
      <c r="H48" s="30">
        <v>9640</v>
      </c>
      <c r="I48" s="30">
        <v>373</v>
      </c>
      <c r="J48" s="31">
        <v>331</v>
      </c>
      <c r="K48" s="32" t="s">
        <v>89</v>
      </c>
      <c r="L48" s="31">
        <v>96</v>
      </c>
      <c r="M48" s="31">
        <v>100</v>
      </c>
      <c r="N48" s="30">
        <v>1.4810000000000001</v>
      </c>
      <c r="O48" s="31">
        <v>19.57</v>
      </c>
      <c r="P48" s="30">
        <v>267500000</v>
      </c>
      <c r="Q48" s="31">
        <v>1324000</v>
      </c>
      <c r="R48" s="31">
        <v>1502000</v>
      </c>
      <c r="S48" s="31">
        <v>167</v>
      </c>
      <c r="T48" s="31">
        <v>4800</v>
      </c>
      <c r="U48" s="30">
        <v>15640000</v>
      </c>
      <c r="V48" s="31">
        <v>172000</v>
      </c>
      <c r="W48" s="31">
        <v>35000</v>
      </c>
      <c r="X48" s="31">
        <v>40.300000000000004</v>
      </c>
      <c r="Y48" s="30">
        <v>65.3</v>
      </c>
      <c r="Z48" s="31">
        <v>731000</v>
      </c>
      <c r="AA48" s="31">
        <v>588000000000</v>
      </c>
      <c r="AB48" s="30">
        <v>1</v>
      </c>
      <c r="AC48" s="31">
        <v>1</v>
      </c>
      <c r="AD48" s="31">
        <v>1</v>
      </c>
      <c r="AE48" s="30">
        <v>2</v>
      </c>
      <c r="AF48" s="31">
        <v>3</v>
      </c>
      <c r="AG48" s="31">
        <v>4</v>
      </c>
    </row>
    <row r="49" spans="1:33" x14ac:dyDescent="0.45">
      <c r="A49" s="43" t="s">
        <v>96</v>
      </c>
      <c r="B49" s="31">
        <v>67.2</v>
      </c>
      <c r="C49" s="30">
        <v>447</v>
      </c>
      <c r="D49" s="31">
        <v>190</v>
      </c>
      <c r="E49" s="31">
        <v>7.6</v>
      </c>
      <c r="F49" s="31">
        <v>13.1</v>
      </c>
      <c r="G49" s="31">
        <v>21</v>
      </c>
      <c r="H49" s="30">
        <v>8560</v>
      </c>
      <c r="I49" s="30">
        <v>420.8</v>
      </c>
      <c r="J49" s="31">
        <v>378.8</v>
      </c>
      <c r="K49" s="32" t="s">
        <v>97</v>
      </c>
      <c r="L49" s="31">
        <v>100</v>
      </c>
      <c r="M49" s="31">
        <v>102</v>
      </c>
      <c r="N49" s="30">
        <v>1.603</v>
      </c>
      <c r="O49" s="31">
        <v>23.87</v>
      </c>
      <c r="P49" s="30">
        <v>297600000</v>
      </c>
      <c r="Q49" s="31">
        <v>1331000</v>
      </c>
      <c r="R49" s="31">
        <v>1494000</v>
      </c>
      <c r="S49" s="31">
        <v>187</v>
      </c>
      <c r="T49" s="31">
        <v>4230</v>
      </c>
      <c r="U49" s="30">
        <v>15020000</v>
      </c>
      <c r="V49" s="31">
        <v>158000</v>
      </c>
      <c r="W49" s="31">
        <v>35000</v>
      </c>
      <c r="X49" s="31">
        <v>41.900000000000006</v>
      </c>
      <c r="Y49" s="30">
        <v>58.4</v>
      </c>
      <c r="Z49" s="31">
        <v>457000</v>
      </c>
      <c r="AA49" s="31">
        <v>705000000000</v>
      </c>
      <c r="AB49" s="30">
        <v>1</v>
      </c>
      <c r="AC49" s="31">
        <v>1</v>
      </c>
      <c r="AD49" s="31">
        <v>1</v>
      </c>
      <c r="AE49" s="30">
        <v>4</v>
      </c>
      <c r="AF49" s="31">
        <v>4</v>
      </c>
      <c r="AG49" s="31">
        <v>4</v>
      </c>
    </row>
    <row r="50" spans="1:33" x14ac:dyDescent="0.45">
      <c r="A50" s="40" t="s">
        <v>98</v>
      </c>
      <c r="B50" s="36">
        <v>77.599999999999994</v>
      </c>
      <c r="C50" s="35">
        <v>450</v>
      </c>
      <c r="D50" s="36">
        <v>190</v>
      </c>
      <c r="E50" s="36">
        <v>9.4</v>
      </c>
      <c r="F50" s="36">
        <v>14.6</v>
      </c>
      <c r="G50" s="36">
        <v>21</v>
      </c>
      <c r="H50" s="35">
        <v>9880</v>
      </c>
      <c r="I50" s="35">
        <v>420.8</v>
      </c>
      <c r="J50" s="36">
        <v>378.8</v>
      </c>
      <c r="K50" s="37" t="s">
        <v>99</v>
      </c>
      <c r="L50" s="36">
        <v>100</v>
      </c>
      <c r="M50" s="36">
        <v>102</v>
      </c>
      <c r="N50" s="35">
        <v>1.605</v>
      </c>
      <c r="O50" s="36">
        <v>20.69</v>
      </c>
      <c r="P50" s="35">
        <v>337400000</v>
      </c>
      <c r="Q50" s="36">
        <v>1500000</v>
      </c>
      <c r="R50" s="36">
        <v>1702000</v>
      </c>
      <c r="S50" s="36">
        <v>185</v>
      </c>
      <c r="T50" s="36">
        <v>5090</v>
      </c>
      <c r="U50" s="35">
        <v>16760000</v>
      </c>
      <c r="V50" s="36">
        <v>176000</v>
      </c>
      <c r="W50" s="31">
        <v>35000</v>
      </c>
      <c r="X50" s="36">
        <v>41.2</v>
      </c>
      <c r="Y50" s="35">
        <v>63.2</v>
      </c>
      <c r="Z50" s="36">
        <v>669000</v>
      </c>
      <c r="AA50" s="36">
        <v>791000000000</v>
      </c>
      <c r="AB50" s="35">
        <v>1</v>
      </c>
      <c r="AC50" s="36">
        <v>1</v>
      </c>
      <c r="AD50" s="36">
        <v>1</v>
      </c>
      <c r="AE50" s="35">
        <v>3</v>
      </c>
      <c r="AF50" s="36">
        <v>4</v>
      </c>
      <c r="AG50" s="36">
        <v>4</v>
      </c>
    </row>
    <row r="51" spans="1:33" x14ac:dyDescent="0.45">
      <c r="A51" s="43" t="s">
        <v>100</v>
      </c>
      <c r="B51" s="31">
        <v>92.4</v>
      </c>
      <c r="C51" s="30">
        <v>456</v>
      </c>
      <c r="D51" s="31">
        <v>192</v>
      </c>
      <c r="E51" s="31">
        <v>11</v>
      </c>
      <c r="F51" s="31">
        <v>17.600000000000001</v>
      </c>
      <c r="G51" s="31">
        <v>21</v>
      </c>
      <c r="H51" s="30">
        <v>11800</v>
      </c>
      <c r="I51" s="30">
        <v>420.8</v>
      </c>
      <c r="J51" s="31">
        <v>378.8</v>
      </c>
      <c r="K51" s="32" t="s">
        <v>97</v>
      </c>
      <c r="L51" s="31">
        <v>102</v>
      </c>
      <c r="M51" s="31">
        <v>104</v>
      </c>
      <c r="N51" s="30">
        <v>1.6220000000000001</v>
      </c>
      <c r="O51" s="31">
        <v>17.559999999999999</v>
      </c>
      <c r="P51" s="30">
        <v>409200000</v>
      </c>
      <c r="Q51" s="31">
        <v>1795000</v>
      </c>
      <c r="R51" s="31">
        <v>2046000</v>
      </c>
      <c r="S51" s="31">
        <v>187</v>
      </c>
      <c r="T51" s="31">
        <v>5940</v>
      </c>
      <c r="U51" s="30">
        <v>20850000</v>
      </c>
      <c r="V51" s="31">
        <v>217000</v>
      </c>
      <c r="W51" s="31">
        <v>35000</v>
      </c>
      <c r="X51" s="31">
        <v>42.1</v>
      </c>
      <c r="Y51" s="30">
        <v>70.8</v>
      </c>
      <c r="Z51" s="31">
        <v>1090000</v>
      </c>
      <c r="AA51" s="31">
        <v>998000000000</v>
      </c>
      <c r="AB51" s="30">
        <v>1</v>
      </c>
      <c r="AC51" s="31">
        <v>1</v>
      </c>
      <c r="AD51" s="31">
        <v>1</v>
      </c>
      <c r="AE51" s="30">
        <v>2</v>
      </c>
      <c r="AF51" s="31">
        <v>4</v>
      </c>
      <c r="AG51" s="31">
        <v>4</v>
      </c>
    </row>
    <row r="52" spans="1:33" x14ac:dyDescent="0.45">
      <c r="A52" s="43" t="s">
        <v>101</v>
      </c>
      <c r="B52" s="31">
        <v>79.400000000000006</v>
      </c>
      <c r="C52" s="30">
        <v>497</v>
      </c>
      <c r="D52" s="31">
        <v>200</v>
      </c>
      <c r="E52" s="31">
        <v>8.4</v>
      </c>
      <c r="F52" s="31">
        <v>14.5</v>
      </c>
      <c r="G52" s="31">
        <v>21</v>
      </c>
      <c r="H52" s="30">
        <v>10100</v>
      </c>
      <c r="I52" s="30">
        <v>468</v>
      </c>
      <c r="J52" s="31">
        <v>426</v>
      </c>
      <c r="K52" s="32" t="s">
        <v>97</v>
      </c>
      <c r="L52" s="31">
        <v>100</v>
      </c>
      <c r="M52" s="31">
        <v>112</v>
      </c>
      <c r="N52" s="30">
        <v>1.7410000000000001</v>
      </c>
      <c r="O52" s="31">
        <v>21.94</v>
      </c>
      <c r="P52" s="30">
        <v>429300000</v>
      </c>
      <c r="Q52" s="31">
        <v>1728000</v>
      </c>
      <c r="R52" s="31">
        <v>1946000</v>
      </c>
      <c r="S52" s="31">
        <v>206</v>
      </c>
      <c r="T52" s="31">
        <v>5040</v>
      </c>
      <c r="U52" s="30">
        <v>19390000</v>
      </c>
      <c r="V52" s="31">
        <v>194000</v>
      </c>
      <c r="W52" s="31">
        <v>35000</v>
      </c>
      <c r="X52" s="31">
        <v>43.8</v>
      </c>
      <c r="Y52" s="30">
        <v>62</v>
      </c>
      <c r="Z52" s="31">
        <v>628000</v>
      </c>
      <c r="AA52" s="31">
        <v>1125000000000</v>
      </c>
      <c r="AB52" s="30">
        <v>1</v>
      </c>
      <c r="AC52" s="31">
        <v>1</v>
      </c>
      <c r="AD52" s="31">
        <v>1</v>
      </c>
      <c r="AE52" s="30">
        <v>4</v>
      </c>
      <c r="AF52" s="31">
        <v>4</v>
      </c>
      <c r="AG52" s="31">
        <v>4</v>
      </c>
    </row>
    <row r="53" spans="1:33" x14ac:dyDescent="0.45">
      <c r="A53" s="40" t="s">
        <v>102</v>
      </c>
      <c r="B53" s="36">
        <v>90.7</v>
      </c>
      <c r="C53" s="35">
        <v>500</v>
      </c>
      <c r="D53" s="36">
        <v>200</v>
      </c>
      <c r="E53" s="36">
        <v>10.199999999999999</v>
      </c>
      <c r="F53" s="36">
        <v>16</v>
      </c>
      <c r="G53" s="36">
        <v>21</v>
      </c>
      <c r="H53" s="35">
        <v>11600</v>
      </c>
      <c r="I53" s="35">
        <v>468</v>
      </c>
      <c r="J53" s="36">
        <v>426</v>
      </c>
      <c r="K53" s="37" t="s">
        <v>99</v>
      </c>
      <c r="L53" s="36">
        <v>102</v>
      </c>
      <c r="M53" s="36">
        <v>112</v>
      </c>
      <c r="N53" s="35">
        <v>1.744</v>
      </c>
      <c r="O53" s="36">
        <v>19.23</v>
      </c>
      <c r="P53" s="35">
        <v>482000000</v>
      </c>
      <c r="Q53" s="36">
        <v>1930000</v>
      </c>
      <c r="R53" s="36">
        <v>2194000</v>
      </c>
      <c r="S53" s="36">
        <v>204</v>
      </c>
      <c r="T53" s="36">
        <v>5990</v>
      </c>
      <c r="U53" s="35">
        <v>21420000</v>
      </c>
      <c r="V53" s="36">
        <v>214000</v>
      </c>
      <c r="W53" s="31">
        <v>35000</v>
      </c>
      <c r="X53" s="36">
        <v>43.099999999999994</v>
      </c>
      <c r="Y53" s="35">
        <v>66.8</v>
      </c>
      <c r="Z53" s="36">
        <v>893000</v>
      </c>
      <c r="AA53" s="36">
        <v>1249000000000</v>
      </c>
      <c r="AB53" s="35">
        <v>1</v>
      </c>
      <c r="AC53" s="36">
        <v>1</v>
      </c>
      <c r="AD53" s="36">
        <v>1</v>
      </c>
      <c r="AE53" s="35">
        <v>3</v>
      </c>
      <c r="AF53" s="36">
        <v>4</v>
      </c>
      <c r="AG53" s="36">
        <v>4</v>
      </c>
    </row>
    <row r="54" spans="1:33" x14ac:dyDescent="0.45">
      <c r="A54" s="44" t="s">
        <v>103</v>
      </c>
      <c r="B54" s="42">
        <v>107</v>
      </c>
      <c r="C54" s="41">
        <v>506</v>
      </c>
      <c r="D54" s="42">
        <v>202</v>
      </c>
      <c r="E54" s="42">
        <v>12</v>
      </c>
      <c r="F54" s="42">
        <v>19</v>
      </c>
      <c r="G54" s="42">
        <v>21</v>
      </c>
      <c r="H54" s="41">
        <v>13700</v>
      </c>
      <c r="I54" s="41">
        <v>468</v>
      </c>
      <c r="J54" s="42">
        <v>426</v>
      </c>
      <c r="K54" s="45" t="s">
        <v>97</v>
      </c>
      <c r="L54" s="42">
        <v>104</v>
      </c>
      <c r="M54" s="42">
        <v>114</v>
      </c>
      <c r="N54" s="41">
        <v>1.76</v>
      </c>
      <c r="O54" s="42">
        <v>16.399999999999999</v>
      </c>
      <c r="P54" s="41">
        <v>577800000</v>
      </c>
      <c r="Q54" s="42">
        <v>2284000</v>
      </c>
      <c r="R54" s="42">
        <v>2613000</v>
      </c>
      <c r="S54" s="42">
        <v>206</v>
      </c>
      <c r="T54" s="42">
        <v>7020</v>
      </c>
      <c r="U54" s="41">
        <v>26220000</v>
      </c>
      <c r="V54" s="42">
        <v>260000</v>
      </c>
      <c r="W54" s="31">
        <v>35000</v>
      </c>
      <c r="X54" s="42">
        <v>43.8</v>
      </c>
      <c r="Y54" s="41">
        <v>74.599999999999994</v>
      </c>
      <c r="Z54" s="42">
        <v>1440000</v>
      </c>
      <c r="AA54" s="42">
        <v>1548000000000</v>
      </c>
      <c r="AB54" s="41">
        <v>1</v>
      </c>
      <c r="AC54" s="42">
        <v>1</v>
      </c>
      <c r="AD54" s="42">
        <v>1</v>
      </c>
      <c r="AE54" s="41">
        <v>2</v>
      </c>
      <c r="AF54" s="42">
        <v>4</v>
      </c>
      <c r="AG54" s="42">
        <v>4</v>
      </c>
    </row>
    <row r="55" spans="1:33" x14ac:dyDescent="0.45">
      <c r="A55" s="29" t="s">
        <v>104</v>
      </c>
      <c r="B55" s="27">
        <v>92.1</v>
      </c>
      <c r="C55" s="26">
        <v>547</v>
      </c>
      <c r="D55" s="27">
        <v>210</v>
      </c>
      <c r="E55" s="27">
        <v>9</v>
      </c>
      <c r="F55" s="27">
        <v>15.7</v>
      </c>
      <c r="G55" s="27">
        <v>24</v>
      </c>
      <c r="H55" s="26">
        <v>11700</v>
      </c>
      <c r="I55" s="26">
        <v>515.6</v>
      </c>
      <c r="J55" s="27">
        <v>467.6</v>
      </c>
      <c r="K55" s="28" t="s">
        <v>99</v>
      </c>
      <c r="L55" s="27">
        <v>106</v>
      </c>
      <c r="M55" s="27">
        <v>122</v>
      </c>
      <c r="N55" s="26">
        <v>1.875</v>
      </c>
      <c r="O55" s="27">
        <v>20.36</v>
      </c>
      <c r="P55" s="26">
        <v>599800000</v>
      </c>
      <c r="Q55" s="27">
        <v>2193000</v>
      </c>
      <c r="R55" s="27">
        <v>2475000</v>
      </c>
      <c r="S55" s="27">
        <v>226</v>
      </c>
      <c r="T55" s="27">
        <v>6030</v>
      </c>
      <c r="U55" s="26">
        <v>24320000</v>
      </c>
      <c r="V55" s="27">
        <v>232000</v>
      </c>
      <c r="W55" s="31">
        <v>35000</v>
      </c>
      <c r="X55" s="27">
        <v>45.5</v>
      </c>
      <c r="Y55" s="26">
        <v>68.5</v>
      </c>
      <c r="Z55" s="27">
        <v>865000</v>
      </c>
      <c r="AA55" s="27">
        <v>1710000000000</v>
      </c>
      <c r="AB55" s="26">
        <v>1</v>
      </c>
      <c r="AC55" s="27">
        <v>1</v>
      </c>
      <c r="AD55" s="27">
        <v>2</v>
      </c>
      <c r="AE55" s="26">
        <v>4</v>
      </c>
      <c r="AF55" s="27">
        <v>4</v>
      </c>
      <c r="AG55" s="27">
        <v>4</v>
      </c>
    </row>
    <row r="56" spans="1:33" x14ac:dyDescent="0.45">
      <c r="A56" s="33" t="s">
        <v>105</v>
      </c>
      <c r="B56" s="31">
        <v>106</v>
      </c>
      <c r="C56" s="30">
        <v>550</v>
      </c>
      <c r="D56" s="31">
        <v>210</v>
      </c>
      <c r="E56" s="31">
        <v>11.1</v>
      </c>
      <c r="F56" s="31">
        <v>17.2</v>
      </c>
      <c r="G56" s="31">
        <v>24</v>
      </c>
      <c r="H56" s="30">
        <v>13400</v>
      </c>
      <c r="I56" s="30">
        <v>515.6</v>
      </c>
      <c r="J56" s="31">
        <v>467.6</v>
      </c>
      <c r="K56" s="32" t="s">
        <v>97</v>
      </c>
      <c r="L56" s="31">
        <v>110</v>
      </c>
      <c r="M56" s="31">
        <v>122</v>
      </c>
      <c r="N56" s="30">
        <v>1.877</v>
      </c>
      <c r="O56" s="31">
        <v>17.78</v>
      </c>
      <c r="P56" s="30">
        <v>671200000</v>
      </c>
      <c r="Q56" s="31">
        <v>2440000</v>
      </c>
      <c r="R56" s="31">
        <v>2787000</v>
      </c>
      <c r="S56" s="31">
        <v>224</v>
      </c>
      <c r="T56" s="31">
        <v>7230</v>
      </c>
      <c r="U56" s="30">
        <v>26680000</v>
      </c>
      <c r="V56" s="31">
        <v>254000</v>
      </c>
      <c r="W56" s="31">
        <v>35000</v>
      </c>
      <c r="X56" s="31">
        <v>44.5</v>
      </c>
      <c r="Y56" s="30">
        <v>73.599999999999994</v>
      </c>
      <c r="Z56" s="31">
        <v>1230000</v>
      </c>
      <c r="AA56" s="31">
        <v>1884000000000</v>
      </c>
      <c r="AB56" s="30">
        <v>1</v>
      </c>
      <c r="AC56" s="31">
        <v>1</v>
      </c>
      <c r="AD56" s="31">
        <v>1</v>
      </c>
      <c r="AE56" s="30">
        <v>4</v>
      </c>
      <c r="AF56" s="31">
        <v>4</v>
      </c>
      <c r="AG56" s="31">
        <v>4</v>
      </c>
    </row>
    <row r="57" spans="1:33" x14ac:dyDescent="0.45">
      <c r="A57" s="40" t="s">
        <v>106</v>
      </c>
      <c r="B57" s="36">
        <v>123</v>
      </c>
      <c r="C57" s="35">
        <v>556</v>
      </c>
      <c r="D57" s="36">
        <v>212</v>
      </c>
      <c r="E57" s="36">
        <v>12.7</v>
      </c>
      <c r="F57" s="36">
        <v>20.2</v>
      </c>
      <c r="G57" s="36">
        <v>24</v>
      </c>
      <c r="H57" s="35">
        <v>15600</v>
      </c>
      <c r="I57" s="35">
        <v>515.6</v>
      </c>
      <c r="J57" s="36">
        <v>467.6</v>
      </c>
      <c r="K57" s="37" t="s">
        <v>99</v>
      </c>
      <c r="L57" s="36">
        <v>110</v>
      </c>
      <c r="M57" s="36">
        <v>122</v>
      </c>
      <c r="N57" s="35">
        <v>1.893</v>
      </c>
      <c r="O57" s="36">
        <v>15.45</v>
      </c>
      <c r="P57" s="35">
        <v>791600000</v>
      </c>
      <c r="Q57" s="36">
        <v>2847000</v>
      </c>
      <c r="R57" s="36">
        <v>3263000</v>
      </c>
      <c r="S57" s="36">
        <v>225</v>
      </c>
      <c r="T57" s="36">
        <v>8270</v>
      </c>
      <c r="U57" s="35">
        <v>32240000</v>
      </c>
      <c r="V57" s="36">
        <v>304000</v>
      </c>
      <c r="W57" s="31">
        <v>35000</v>
      </c>
      <c r="X57" s="36">
        <v>45.5</v>
      </c>
      <c r="Y57" s="35">
        <v>81.2</v>
      </c>
      <c r="Z57" s="36">
        <v>1880000</v>
      </c>
      <c r="AA57" s="36">
        <v>2302000000000</v>
      </c>
      <c r="AB57" s="35">
        <v>1</v>
      </c>
      <c r="AC57" s="36">
        <v>1</v>
      </c>
      <c r="AD57" s="36">
        <v>1</v>
      </c>
      <c r="AE57" s="35">
        <v>2</v>
      </c>
      <c r="AF57" s="36">
        <v>4</v>
      </c>
      <c r="AG57" s="36">
        <v>4</v>
      </c>
    </row>
    <row r="58" spans="1:33" x14ac:dyDescent="0.45">
      <c r="A58" s="40" t="s">
        <v>107</v>
      </c>
      <c r="B58" s="36">
        <v>108</v>
      </c>
      <c r="C58" s="35">
        <v>597</v>
      </c>
      <c r="D58" s="36">
        <v>220</v>
      </c>
      <c r="E58" s="36">
        <v>9.8000000000000007</v>
      </c>
      <c r="F58" s="36">
        <v>17.5</v>
      </c>
      <c r="G58" s="36">
        <v>24</v>
      </c>
      <c r="H58" s="35">
        <v>13700</v>
      </c>
      <c r="I58" s="35">
        <v>562</v>
      </c>
      <c r="J58" s="36">
        <v>514</v>
      </c>
      <c r="K58" s="37" t="s">
        <v>108</v>
      </c>
      <c r="L58" s="36">
        <v>114</v>
      </c>
      <c r="M58" s="36">
        <v>118</v>
      </c>
      <c r="N58" s="35">
        <v>2.0129999999999999</v>
      </c>
      <c r="O58" s="36">
        <v>18.72</v>
      </c>
      <c r="P58" s="35">
        <v>829200000</v>
      </c>
      <c r="Q58" s="36">
        <v>2778000</v>
      </c>
      <c r="R58" s="36">
        <v>3141000</v>
      </c>
      <c r="S58" s="36">
        <v>246</v>
      </c>
      <c r="T58" s="36">
        <v>7009.9999999999991</v>
      </c>
      <c r="U58" s="35">
        <v>31160000</v>
      </c>
      <c r="V58" s="36">
        <v>283000</v>
      </c>
      <c r="W58" s="31">
        <v>35000</v>
      </c>
      <c r="X58" s="36">
        <v>47.699999999999996</v>
      </c>
      <c r="Y58" s="35">
        <v>72.900000000000006</v>
      </c>
      <c r="Z58" s="36">
        <v>1190000</v>
      </c>
      <c r="AA58" s="36">
        <v>2607000000000</v>
      </c>
      <c r="AB58" s="35">
        <v>1</v>
      </c>
      <c r="AC58" s="36">
        <v>1</v>
      </c>
      <c r="AD58" s="36">
        <v>2</v>
      </c>
      <c r="AE58" s="35">
        <v>4</v>
      </c>
      <c r="AF58" s="36">
        <v>4</v>
      </c>
      <c r="AG58" s="36">
        <v>4</v>
      </c>
    </row>
    <row r="59" spans="1:33" x14ac:dyDescent="0.45">
      <c r="A59" s="33" t="s">
        <v>109</v>
      </c>
      <c r="B59" s="31">
        <v>122</v>
      </c>
      <c r="C59" s="30">
        <v>600</v>
      </c>
      <c r="D59" s="31">
        <v>220</v>
      </c>
      <c r="E59" s="31">
        <v>12</v>
      </c>
      <c r="F59" s="31">
        <v>19</v>
      </c>
      <c r="G59" s="31">
        <v>24</v>
      </c>
      <c r="H59" s="30">
        <v>15600</v>
      </c>
      <c r="I59" s="30">
        <v>562</v>
      </c>
      <c r="J59" s="31">
        <v>514</v>
      </c>
      <c r="K59" s="32" t="s">
        <v>110</v>
      </c>
      <c r="L59" s="31">
        <v>116</v>
      </c>
      <c r="M59" s="31">
        <v>118</v>
      </c>
      <c r="N59" s="30">
        <v>2.0150000000000001</v>
      </c>
      <c r="O59" s="31">
        <v>16.45</v>
      </c>
      <c r="P59" s="30">
        <v>920800000</v>
      </c>
      <c r="Q59" s="31">
        <v>3070000</v>
      </c>
      <c r="R59" s="31">
        <v>3512000</v>
      </c>
      <c r="S59" s="31">
        <v>243</v>
      </c>
      <c r="T59" s="31">
        <v>8380</v>
      </c>
      <c r="U59" s="30">
        <v>33870000</v>
      </c>
      <c r="V59" s="31">
        <v>308000</v>
      </c>
      <c r="W59" s="31">
        <v>35000</v>
      </c>
      <c r="X59" s="31">
        <v>46.6</v>
      </c>
      <c r="Y59" s="30">
        <v>78.099999999999994</v>
      </c>
      <c r="Z59" s="31">
        <v>1650000</v>
      </c>
      <c r="AA59" s="31">
        <v>2846000000000</v>
      </c>
      <c r="AB59" s="30">
        <v>1</v>
      </c>
      <c r="AC59" s="31">
        <v>1</v>
      </c>
      <c r="AD59" s="31">
        <v>1</v>
      </c>
      <c r="AE59" s="30">
        <v>4</v>
      </c>
      <c r="AF59" s="31">
        <v>4</v>
      </c>
      <c r="AG59" s="31">
        <v>4</v>
      </c>
    </row>
    <row r="60" spans="1:33" x14ac:dyDescent="0.45">
      <c r="A60" s="40" t="s">
        <v>111</v>
      </c>
      <c r="B60" s="36">
        <v>154</v>
      </c>
      <c r="C60" s="35">
        <v>610</v>
      </c>
      <c r="D60" s="36">
        <v>224</v>
      </c>
      <c r="E60" s="36">
        <v>15</v>
      </c>
      <c r="F60" s="36">
        <v>24</v>
      </c>
      <c r="G60" s="36">
        <v>24</v>
      </c>
      <c r="H60" s="35">
        <v>19700</v>
      </c>
      <c r="I60" s="35">
        <v>562</v>
      </c>
      <c r="J60" s="36">
        <v>514</v>
      </c>
      <c r="K60" s="37" t="s">
        <v>108</v>
      </c>
      <c r="L60" s="36">
        <v>118</v>
      </c>
      <c r="M60" s="36">
        <v>122</v>
      </c>
      <c r="N60" s="35">
        <v>2.0449999999999999</v>
      </c>
      <c r="O60" s="36">
        <v>13.24</v>
      </c>
      <c r="P60" s="35">
        <v>1183000000</v>
      </c>
      <c r="Q60" s="36">
        <v>3879000</v>
      </c>
      <c r="R60" s="36">
        <v>4471000</v>
      </c>
      <c r="S60" s="36">
        <v>245</v>
      </c>
      <c r="T60" s="36">
        <v>10400</v>
      </c>
      <c r="U60" s="35">
        <v>45210000</v>
      </c>
      <c r="V60" s="36">
        <v>404000</v>
      </c>
      <c r="W60" s="31">
        <v>35000</v>
      </c>
      <c r="X60" s="36">
        <v>47.9</v>
      </c>
      <c r="Y60" s="35">
        <v>91.1</v>
      </c>
      <c r="Z60" s="36">
        <v>3180000</v>
      </c>
      <c r="AA60" s="36">
        <v>3860000000000</v>
      </c>
      <c r="AB60" s="35">
        <v>1</v>
      </c>
      <c r="AC60" s="36">
        <v>1</v>
      </c>
      <c r="AD60" s="36">
        <v>1</v>
      </c>
      <c r="AE60" s="35">
        <v>2</v>
      </c>
      <c r="AF60" s="36">
        <v>4</v>
      </c>
      <c r="AG60" s="36">
        <v>4</v>
      </c>
    </row>
    <row r="61" spans="1:33" x14ac:dyDescent="0.45">
      <c r="A61" s="40" t="s">
        <v>112</v>
      </c>
      <c r="B61" s="36">
        <v>137</v>
      </c>
      <c r="C61" s="35">
        <v>753</v>
      </c>
      <c r="D61" s="36">
        <v>263</v>
      </c>
      <c r="E61" s="36">
        <v>11.5</v>
      </c>
      <c r="F61" s="36">
        <v>17</v>
      </c>
      <c r="G61" s="36">
        <v>17</v>
      </c>
      <c r="H61" s="35">
        <v>17500</v>
      </c>
      <c r="I61" s="35">
        <v>719</v>
      </c>
      <c r="J61" s="36">
        <v>685</v>
      </c>
      <c r="K61" s="37" t="s">
        <v>108</v>
      </c>
      <c r="L61" s="36">
        <v>102</v>
      </c>
      <c r="M61" s="36">
        <v>162</v>
      </c>
      <c r="N61" s="35">
        <v>2.5059999999999998</v>
      </c>
      <c r="O61" s="36">
        <v>18.28</v>
      </c>
      <c r="P61" s="35">
        <v>1599000000</v>
      </c>
      <c r="Q61" s="36">
        <v>4246000</v>
      </c>
      <c r="R61" s="36">
        <v>4865000</v>
      </c>
      <c r="S61" s="36">
        <v>303</v>
      </c>
      <c r="T61" s="36">
        <v>9290</v>
      </c>
      <c r="U61" s="35">
        <v>51660000</v>
      </c>
      <c r="V61" s="36">
        <v>393000</v>
      </c>
      <c r="W61" s="31">
        <v>35000</v>
      </c>
      <c r="X61" s="36">
        <v>54.400000000000006</v>
      </c>
      <c r="Y61" s="35">
        <v>65.400000000000006</v>
      </c>
      <c r="Z61" s="36">
        <v>1370000</v>
      </c>
      <c r="AA61" s="36">
        <v>6980000000000</v>
      </c>
      <c r="AB61" s="35">
        <v>1</v>
      </c>
      <c r="AC61" s="36">
        <v>2</v>
      </c>
      <c r="AD61" s="37" t="s">
        <v>34</v>
      </c>
      <c r="AE61" s="35">
        <v>4</v>
      </c>
      <c r="AF61" s="36">
        <v>4</v>
      </c>
      <c r="AG61" s="37" t="s">
        <v>34</v>
      </c>
    </row>
    <row r="62" spans="1:33" x14ac:dyDescent="0.45">
      <c r="A62" s="33" t="s">
        <v>113</v>
      </c>
      <c r="B62" s="31">
        <v>147</v>
      </c>
      <c r="C62" s="30">
        <v>753</v>
      </c>
      <c r="D62" s="31">
        <v>265</v>
      </c>
      <c r="E62" s="31">
        <v>13.2</v>
      </c>
      <c r="F62" s="31">
        <v>17</v>
      </c>
      <c r="G62" s="31">
        <v>17</v>
      </c>
      <c r="H62" s="30">
        <v>18800</v>
      </c>
      <c r="I62" s="30">
        <v>719</v>
      </c>
      <c r="J62" s="31">
        <v>685</v>
      </c>
      <c r="K62" s="32" t="s">
        <v>110</v>
      </c>
      <c r="L62" s="31">
        <v>104</v>
      </c>
      <c r="M62" s="31">
        <v>164</v>
      </c>
      <c r="N62" s="30">
        <v>2.5099999999999998</v>
      </c>
      <c r="O62" s="31">
        <v>17.059999999999999</v>
      </c>
      <c r="P62" s="30">
        <v>1661000000</v>
      </c>
      <c r="Q62" s="31">
        <v>4411000</v>
      </c>
      <c r="R62" s="31">
        <v>5110000</v>
      </c>
      <c r="S62" s="31">
        <v>298</v>
      </c>
      <c r="T62" s="31">
        <v>10500</v>
      </c>
      <c r="U62" s="30">
        <v>52890000</v>
      </c>
      <c r="V62" s="31">
        <v>399000</v>
      </c>
      <c r="W62" s="31">
        <v>35000</v>
      </c>
      <c r="X62" s="31">
        <v>53.099999999999994</v>
      </c>
      <c r="Y62" s="30">
        <v>67.099999999999994</v>
      </c>
      <c r="Z62" s="31">
        <v>1620000</v>
      </c>
      <c r="AA62" s="31">
        <v>7141000000000</v>
      </c>
      <c r="AB62" s="30">
        <v>1</v>
      </c>
      <c r="AC62" s="31">
        <v>1</v>
      </c>
      <c r="AD62" s="31">
        <v>2</v>
      </c>
      <c r="AE62" s="30">
        <v>4</v>
      </c>
      <c r="AF62" s="31">
        <v>4</v>
      </c>
      <c r="AG62" s="31">
        <v>4</v>
      </c>
    </row>
    <row r="63" spans="1:33" x14ac:dyDescent="0.45">
      <c r="A63" s="40" t="s">
        <v>114</v>
      </c>
      <c r="B63" s="36">
        <v>173</v>
      </c>
      <c r="C63" s="35">
        <v>762</v>
      </c>
      <c r="D63" s="36">
        <v>267</v>
      </c>
      <c r="E63" s="36">
        <v>14.4</v>
      </c>
      <c r="F63" s="36">
        <v>21.6</v>
      </c>
      <c r="G63" s="36">
        <v>17</v>
      </c>
      <c r="H63" s="35">
        <v>22100</v>
      </c>
      <c r="I63" s="35">
        <v>718.8</v>
      </c>
      <c r="J63" s="36">
        <v>684.8</v>
      </c>
      <c r="K63" s="37" t="s">
        <v>108</v>
      </c>
      <c r="L63" s="36">
        <v>104</v>
      </c>
      <c r="M63" s="36">
        <v>166</v>
      </c>
      <c r="N63" s="35">
        <v>2.5339999999999998</v>
      </c>
      <c r="O63" s="36">
        <v>14.58</v>
      </c>
      <c r="P63" s="35">
        <v>2058000000</v>
      </c>
      <c r="Q63" s="36">
        <v>5402000</v>
      </c>
      <c r="R63" s="36">
        <v>6218000</v>
      </c>
      <c r="S63" s="36">
        <v>305</v>
      </c>
      <c r="T63" s="36">
        <v>11600</v>
      </c>
      <c r="U63" s="35">
        <v>68730000</v>
      </c>
      <c r="V63" s="36">
        <v>515000</v>
      </c>
      <c r="W63" s="31">
        <v>35000</v>
      </c>
      <c r="X63" s="36">
        <v>55.7</v>
      </c>
      <c r="Y63" s="35">
        <v>77.5</v>
      </c>
      <c r="Z63" s="36">
        <v>2740000</v>
      </c>
      <c r="AA63" s="36">
        <v>9391000000000</v>
      </c>
      <c r="AB63" s="35">
        <v>1</v>
      </c>
      <c r="AC63" s="36">
        <v>1</v>
      </c>
      <c r="AD63" s="36">
        <v>1</v>
      </c>
      <c r="AE63" s="35">
        <v>4</v>
      </c>
      <c r="AF63" s="36">
        <v>4</v>
      </c>
      <c r="AG63" s="36">
        <v>4</v>
      </c>
    </row>
    <row r="64" spans="1:33" x14ac:dyDescent="0.45">
      <c r="A64" s="44" t="s">
        <v>115</v>
      </c>
      <c r="B64" s="42">
        <v>196</v>
      </c>
      <c r="C64" s="41">
        <v>770</v>
      </c>
      <c r="D64" s="42">
        <v>268</v>
      </c>
      <c r="E64" s="42">
        <v>15.6</v>
      </c>
      <c r="F64" s="42">
        <v>25.4</v>
      </c>
      <c r="G64" s="42">
        <v>17</v>
      </c>
      <c r="H64" s="41">
        <v>25100</v>
      </c>
      <c r="I64" s="41">
        <v>719.2</v>
      </c>
      <c r="J64" s="42">
        <v>685.2</v>
      </c>
      <c r="K64" s="45" t="s">
        <v>110</v>
      </c>
      <c r="L64" s="42">
        <v>106</v>
      </c>
      <c r="M64" s="42">
        <v>166</v>
      </c>
      <c r="N64" s="41">
        <v>2.552</v>
      </c>
      <c r="O64" s="42">
        <v>12.96</v>
      </c>
      <c r="P64" s="41">
        <v>2403000000</v>
      </c>
      <c r="Q64" s="42">
        <v>6241000</v>
      </c>
      <c r="R64" s="42">
        <v>7174000</v>
      </c>
      <c r="S64" s="42">
        <v>310</v>
      </c>
      <c r="T64" s="42">
        <v>12700</v>
      </c>
      <c r="U64" s="41">
        <v>81750000</v>
      </c>
      <c r="V64" s="42">
        <v>610000</v>
      </c>
      <c r="W64" s="31">
        <v>35000</v>
      </c>
      <c r="X64" s="42">
        <v>57.1</v>
      </c>
      <c r="Y64" s="41">
        <v>86.3</v>
      </c>
      <c r="Z64" s="42">
        <v>4090000</v>
      </c>
      <c r="AA64" s="42">
        <v>11290000000000</v>
      </c>
      <c r="AB64" s="41">
        <v>1</v>
      </c>
      <c r="AC64" s="42">
        <v>1</v>
      </c>
      <c r="AD64" s="42">
        <v>1</v>
      </c>
      <c r="AE64" s="41">
        <v>4</v>
      </c>
      <c r="AF64" s="42">
        <v>4</v>
      </c>
      <c r="AG64" s="42">
        <v>4</v>
      </c>
    </row>
  </sheetData>
  <pageMargins left="0.7" right="0.7" top="0.75" bottom="0.75" header="0.3" footer="0.3"/>
  <pageSetup paperSize="205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AG127"/>
  <sheetViews>
    <sheetView zoomScale="70" zoomScaleNormal="70" workbookViewId="0">
      <pane xSplit="1" ySplit="2" topLeftCell="N3" activePane="bottomRight" state="frozen"/>
      <selection pane="topRight" activeCell="D1" sqref="D1"/>
      <selection pane="bottomLeft" activeCell="A13" sqref="A13"/>
      <selection pane="bottomRight" activeCell="AB2" sqref="AB2:AG2"/>
    </sheetView>
  </sheetViews>
  <sheetFormatPr baseColWidth="10" defaultColWidth="9.1328125" defaultRowHeight="14.25" x14ac:dyDescent="0.45"/>
  <cols>
    <col min="1" max="1" width="14.86328125" style="47" bestFit="1" customWidth="1"/>
    <col min="2" max="2" width="11" style="47" bestFit="1" customWidth="1"/>
    <col min="3" max="3" width="12.1328125" style="47" bestFit="1" customWidth="1"/>
    <col min="4" max="4" width="11" style="47" bestFit="1" customWidth="1"/>
    <col min="5" max="7" width="9.73046875" style="47" bestFit="1" customWidth="1"/>
    <col min="8" max="8" width="16.73046875" style="47" bestFit="1" customWidth="1"/>
    <col min="9" max="10" width="11" style="47" bestFit="1" customWidth="1"/>
    <col min="11" max="11" width="6.265625" style="47" bestFit="1" customWidth="1"/>
    <col min="12" max="12" width="10.59765625" style="47" bestFit="1" customWidth="1"/>
    <col min="13" max="13" width="11" style="47" bestFit="1" customWidth="1"/>
    <col min="14" max="15" width="9.73046875" style="47" bestFit="1" customWidth="1"/>
    <col min="16" max="16" width="21.73046875" style="47" bestFit="1" customWidth="1"/>
    <col min="17" max="18" width="17.86328125" style="47" bestFit="1" customWidth="1"/>
    <col min="19" max="19" width="11" style="47" bestFit="1" customWidth="1"/>
    <col min="20" max="20" width="13.86328125" style="47" bestFit="1" customWidth="1"/>
    <col min="21" max="21" width="19.1328125" style="47" bestFit="1" customWidth="1"/>
    <col min="22" max="22" width="16.265625" style="47" bestFit="1" customWidth="1"/>
    <col min="23" max="23" width="16.73046875" style="47" bestFit="1" customWidth="1"/>
    <col min="24" max="24" width="9.73046875" style="47" bestFit="1" customWidth="1"/>
    <col min="25" max="25" width="10.59765625" style="47" bestFit="1" customWidth="1"/>
    <col min="26" max="26" width="17.86328125" style="47" bestFit="1" customWidth="1"/>
    <col min="27" max="27" width="26.3984375" style="47" bestFit="1" customWidth="1"/>
    <col min="28" max="33" width="9.73046875" style="47" bestFit="1" customWidth="1"/>
    <col min="34" max="16384" width="9.1328125" style="47"/>
  </cols>
  <sheetData>
    <row r="1" spans="1:33" s="93" customFormat="1" ht="53.25" customHeight="1" x14ac:dyDescent="0.45">
      <c r="A1" s="25" t="s">
        <v>1</v>
      </c>
      <c r="B1" s="25" t="s">
        <v>2</v>
      </c>
      <c r="C1" s="25" t="s">
        <v>3</v>
      </c>
      <c r="D1" s="25" t="s">
        <v>4</v>
      </c>
      <c r="E1" s="25" t="s">
        <v>116</v>
      </c>
      <c r="F1" s="25" t="s">
        <v>6</v>
      </c>
      <c r="G1" s="25" t="s">
        <v>7</v>
      </c>
      <c r="H1" s="25" t="s">
        <v>8</v>
      </c>
      <c r="I1" s="25" t="s">
        <v>9</v>
      </c>
      <c r="J1" s="25" t="s">
        <v>10</v>
      </c>
      <c r="K1" s="25" t="s">
        <v>117</v>
      </c>
      <c r="L1" s="25" t="s">
        <v>118</v>
      </c>
      <c r="M1" s="25" t="s">
        <v>119</v>
      </c>
      <c r="N1" s="25" t="s">
        <v>14</v>
      </c>
      <c r="O1" s="25" t="s">
        <v>15</v>
      </c>
      <c r="P1" s="25" t="s">
        <v>16</v>
      </c>
      <c r="Q1" s="25" t="s">
        <v>17</v>
      </c>
      <c r="R1" s="25" t="s">
        <v>18</v>
      </c>
      <c r="S1" s="25" t="s">
        <v>19</v>
      </c>
      <c r="T1" s="25" t="s">
        <v>20</v>
      </c>
      <c r="U1" s="25" t="s">
        <v>21</v>
      </c>
      <c r="V1" s="25" t="s">
        <v>22</v>
      </c>
      <c r="W1" s="25" t="s">
        <v>23</v>
      </c>
      <c r="X1" s="25" t="s">
        <v>24</v>
      </c>
      <c r="Y1" s="25" t="s">
        <v>120</v>
      </c>
      <c r="Z1" s="25" t="s">
        <v>26</v>
      </c>
      <c r="AA1" s="25" t="s">
        <v>27</v>
      </c>
      <c r="AB1" s="49" t="s">
        <v>28</v>
      </c>
      <c r="AC1" s="49" t="s">
        <v>29</v>
      </c>
      <c r="AD1" s="49" t="s">
        <v>30</v>
      </c>
      <c r="AE1" s="49" t="s">
        <v>28</v>
      </c>
      <c r="AF1" s="49" t="s">
        <v>29</v>
      </c>
      <c r="AG1" s="49" t="s">
        <v>30</v>
      </c>
    </row>
    <row r="2" spans="1:33" s="92" customFormat="1" ht="32.25" x14ac:dyDescent="0.45">
      <c r="A2" s="25" t="s">
        <v>731</v>
      </c>
      <c r="B2" s="25" t="s">
        <v>31</v>
      </c>
      <c r="C2" s="25" t="s">
        <v>32</v>
      </c>
      <c r="D2" s="25" t="s">
        <v>32</v>
      </c>
      <c r="E2" s="25" t="s">
        <v>32</v>
      </c>
      <c r="F2" s="25" t="s">
        <v>32</v>
      </c>
      <c r="G2" s="25" t="s">
        <v>32</v>
      </c>
      <c r="H2" s="25" t="s">
        <v>33</v>
      </c>
      <c r="I2" s="25" t="s">
        <v>32</v>
      </c>
      <c r="J2" s="25" t="s">
        <v>32</v>
      </c>
      <c r="K2" s="25" t="s">
        <v>34</v>
      </c>
      <c r="L2" s="25" t="s">
        <v>32</v>
      </c>
      <c r="M2" s="25" t="s">
        <v>32</v>
      </c>
      <c r="N2" s="25" t="s">
        <v>35</v>
      </c>
      <c r="O2" s="25" t="s">
        <v>36</v>
      </c>
      <c r="P2" s="25" t="s">
        <v>37</v>
      </c>
      <c r="Q2" s="25" t="s">
        <v>38</v>
      </c>
      <c r="R2" s="25" t="s">
        <v>38</v>
      </c>
      <c r="S2" s="25" t="s">
        <v>32</v>
      </c>
      <c r="T2" s="25" t="s">
        <v>33</v>
      </c>
      <c r="U2" s="25" t="s">
        <v>37</v>
      </c>
      <c r="V2" s="25" t="s">
        <v>38</v>
      </c>
      <c r="W2" s="25" t="s">
        <v>38</v>
      </c>
      <c r="X2" s="25" t="s">
        <v>32</v>
      </c>
      <c r="Y2" s="25" t="s">
        <v>32</v>
      </c>
      <c r="Z2" s="25" t="s">
        <v>37</v>
      </c>
      <c r="AA2" s="25" t="s">
        <v>39</v>
      </c>
      <c r="AB2" s="50" t="s">
        <v>732</v>
      </c>
      <c r="AC2" s="50" t="s">
        <v>732</v>
      </c>
      <c r="AD2" s="50" t="s">
        <v>732</v>
      </c>
      <c r="AE2" s="50" t="s">
        <v>733</v>
      </c>
      <c r="AF2" s="50" t="s">
        <v>733</v>
      </c>
      <c r="AG2" s="50" t="s">
        <v>733</v>
      </c>
    </row>
    <row r="3" spans="1:33" x14ac:dyDescent="0.45">
      <c r="A3" s="29" t="s">
        <v>121</v>
      </c>
      <c r="B3" s="27">
        <v>12.2</v>
      </c>
      <c r="C3" s="26">
        <v>91</v>
      </c>
      <c r="D3" s="27">
        <v>100</v>
      </c>
      <c r="E3" s="27">
        <v>4.2</v>
      </c>
      <c r="F3" s="27">
        <v>5.5</v>
      </c>
      <c r="G3" s="27">
        <v>12</v>
      </c>
      <c r="H3" s="26">
        <v>1560</v>
      </c>
      <c r="I3" s="26">
        <v>80</v>
      </c>
      <c r="J3" s="27">
        <v>56</v>
      </c>
      <c r="K3" s="28" t="s">
        <v>58</v>
      </c>
      <c r="L3" s="27">
        <v>54</v>
      </c>
      <c r="M3" s="27">
        <v>58</v>
      </c>
      <c r="N3" s="26">
        <v>0.55300000000000005</v>
      </c>
      <c r="O3" s="27">
        <v>45.17</v>
      </c>
      <c r="P3" s="26">
        <v>2365000</v>
      </c>
      <c r="Q3" s="27">
        <v>51980</v>
      </c>
      <c r="R3" s="27">
        <v>58360</v>
      </c>
      <c r="S3" s="68">
        <v>38.9</v>
      </c>
      <c r="T3" s="69">
        <v>615</v>
      </c>
      <c r="U3" s="26">
        <v>920600</v>
      </c>
      <c r="V3" s="27">
        <v>18410</v>
      </c>
      <c r="W3" s="27">
        <v>28440</v>
      </c>
      <c r="X3" s="27">
        <v>24.3</v>
      </c>
      <c r="Y3" s="26">
        <v>29.26</v>
      </c>
      <c r="Z3" s="27">
        <v>25099.999999999996</v>
      </c>
      <c r="AA3" s="27">
        <v>1680000000</v>
      </c>
      <c r="AB3" s="26">
        <v>1</v>
      </c>
      <c r="AC3" s="27">
        <v>1</v>
      </c>
      <c r="AD3" s="27">
        <v>2</v>
      </c>
      <c r="AE3" s="26">
        <v>1</v>
      </c>
      <c r="AF3" s="27">
        <v>1</v>
      </c>
      <c r="AG3" s="27">
        <v>2</v>
      </c>
    </row>
    <row r="4" spans="1:33" x14ac:dyDescent="0.45">
      <c r="A4" s="33" t="s">
        <v>122</v>
      </c>
      <c r="B4" s="31">
        <v>16.7</v>
      </c>
      <c r="C4" s="30">
        <v>96</v>
      </c>
      <c r="D4" s="31">
        <v>100</v>
      </c>
      <c r="E4" s="31">
        <v>5</v>
      </c>
      <c r="F4" s="31">
        <v>8</v>
      </c>
      <c r="G4" s="31">
        <v>12</v>
      </c>
      <c r="H4" s="30">
        <v>2120</v>
      </c>
      <c r="I4" s="30">
        <v>80</v>
      </c>
      <c r="J4" s="31">
        <v>56</v>
      </c>
      <c r="K4" s="32" t="s">
        <v>60</v>
      </c>
      <c r="L4" s="31">
        <v>54</v>
      </c>
      <c r="M4" s="31">
        <v>58</v>
      </c>
      <c r="N4" s="30">
        <v>0.56100000000000005</v>
      </c>
      <c r="O4" s="31">
        <v>33.68</v>
      </c>
      <c r="P4" s="30">
        <v>3492000</v>
      </c>
      <c r="Q4" s="31">
        <v>72760</v>
      </c>
      <c r="R4" s="31">
        <v>83010</v>
      </c>
      <c r="S4" s="70">
        <v>40.599999999999994</v>
      </c>
      <c r="T4" s="71">
        <v>756</v>
      </c>
      <c r="U4" s="30">
        <v>1338000</v>
      </c>
      <c r="V4" s="31">
        <v>26760</v>
      </c>
      <c r="W4" s="31">
        <v>41140</v>
      </c>
      <c r="X4" s="31">
        <v>25.099999999999998</v>
      </c>
      <c r="Y4" s="30">
        <v>35.06</v>
      </c>
      <c r="Z4" s="31">
        <v>52400</v>
      </c>
      <c r="AA4" s="31">
        <v>2580000000</v>
      </c>
      <c r="AB4" s="30">
        <v>1</v>
      </c>
      <c r="AC4" s="31">
        <v>1</v>
      </c>
      <c r="AD4" s="31">
        <v>1</v>
      </c>
      <c r="AE4" s="30">
        <v>1</v>
      </c>
      <c r="AF4" s="31">
        <v>1</v>
      </c>
      <c r="AG4" s="31">
        <v>1</v>
      </c>
    </row>
    <row r="5" spans="1:33" x14ac:dyDescent="0.45">
      <c r="A5" s="40" t="s">
        <v>123</v>
      </c>
      <c r="B5" s="36">
        <v>20.399999999999999</v>
      </c>
      <c r="C5" s="35">
        <v>100</v>
      </c>
      <c r="D5" s="36">
        <v>100</v>
      </c>
      <c r="E5" s="36">
        <v>6</v>
      </c>
      <c r="F5" s="36">
        <v>10</v>
      </c>
      <c r="G5" s="36">
        <v>12</v>
      </c>
      <c r="H5" s="35">
        <v>2600</v>
      </c>
      <c r="I5" s="35">
        <v>80</v>
      </c>
      <c r="J5" s="36">
        <v>56</v>
      </c>
      <c r="K5" s="37" t="s">
        <v>58</v>
      </c>
      <c r="L5" s="36">
        <v>56</v>
      </c>
      <c r="M5" s="36">
        <v>58</v>
      </c>
      <c r="N5" s="35">
        <v>0.56699999999999995</v>
      </c>
      <c r="O5" s="36">
        <v>27.76</v>
      </c>
      <c r="P5" s="35">
        <v>4495000</v>
      </c>
      <c r="Q5" s="36">
        <v>89910</v>
      </c>
      <c r="R5" s="36">
        <v>104200</v>
      </c>
      <c r="S5" s="72">
        <v>41.6</v>
      </c>
      <c r="T5" s="73">
        <v>903.99999999999989</v>
      </c>
      <c r="U5" s="35">
        <v>1673000</v>
      </c>
      <c r="V5" s="36">
        <v>33450</v>
      </c>
      <c r="W5" s="36">
        <v>51420</v>
      </c>
      <c r="X5" s="36">
        <v>25.299999999999997</v>
      </c>
      <c r="Y5" s="35">
        <v>40.06</v>
      </c>
      <c r="Z5" s="36">
        <v>92500</v>
      </c>
      <c r="AA5" s="36">
        <v>3380000000</v>
      </c>
      <c r="AB5" s="35">
        <v>1</v>
      </c>
      <c r="AC5" s="36">
        <v>1</v>
      </c>
      <c r="AD5" s="36">
        <v>1</v>
      </c>
      <c r="AE5" s="35">
        <v>1</v>
      </c>
      <c r="AF5" s="36">
        <v>1</v>
      </c>
      <c r="AG5" s="36">
        <v>1</v>
      </c>
    </row>
    <row r="6" spans="1:33" x14ac:dyDescent="0.45">
      <c r="A6" s="43" t="s">
        <v>124</v>
      </c>
      <c r="B6" s="31">
        <v>30.9</v>
      </c>
      <c r="C6" s="30">
        <v>110</v>
      </c>
      <c r="D6" s="31">
        <v>103</v>
      </c>
      <c r="E6" s="31">
        <v>9</v>
      </c>
      <c r="F6" s="31">
        <v>15</v>
      </c>
      <c r="G6" s="31">
        <v>12</v>
      </c>
      <c r="H6" s="30">
        <v>3929.9999999999995</v>
      </c>
      <c r="I6" s="30">
        <v>80</v>
      </c>
      <c r="J6" s="31">
        <v>56</v>
      </c>
      <c r="K6" s="32" t="s">
        <v>60</v>
      </c>
      <c r="L6" s="31">
        <v>59</v>
      </c>
      <c r="M6" s="31">
        <v>61</v>
      </c>
      <c r="N6" s="30">
        <v>0.59299999999999997</v>
      </c>
      <c r="O6" s="31">
        <v>19.23</v>
      </c>
      <c r="P6" s="30">
        <v>7587000</v>
      </c>
      <c r="Q6" s="31">
        <v>137900</v>
      </c>
      <c r="R6" s="31">
        <v>165800</v>
      </c>
      <c r="S6" s="70">
        <v>43.9</v>
      </c>
      <c r="T6" s="71">
        <v>1339</v>
      </c>
      <c r="U6" s="30">
        <v>2744000</v>
      </c>
      <c r="V6" s="31">
        <v>53280</v>
      </c>
      <c r="W6" s="31">
        <v>82080</v>
      </c>
      <c r="X6" s="31">
        <v>26.400000000000002</v>
      </c>
      <c r="Y6" s="30">
        <v>53.06</v>
      </c>
      <c r="Z6" s="31">
        <v>293000</v>
      </c>
      <c r="AA6" s="31">
        <v>6160000000</v>
      </c>
      <c r="AB6" s="30">
        <v>1</v>
      </c>
      <c r="AC6" s="31">
        <v>1</v>
      </c>
      <c r="AD6" s="32" t="s">
        <v>43</v>
      </c>
      <c r="AE6" s="30">
        <v>1</v>
      </c>
      <c r="AF6" s="31">
        <v>1</v>
      </c>
      <c r="AG6" s="32" t="s">
        <v>43</v>
      </c>
    </row>
    <row r="7" spans="1:33" x14ac:dyDescent="0.45">
      <c r="A7" s="40" t="s">
        <v>125</v>
      </c>
      <c r="B7" s="36">
        <v>41.8</v>
      </c>
      <c r="C7" s="35">
        <v>120</v>
      </c>
      <c r="D7" s="36">
        <v>106</v>
      </c>
      <c r="E7" s="36">
        <v>12</v>
      </c>
      <c r="F7" s="36">
        <v>20</v>
      </c>
      <c r="G7" s="36">
        <v>12</v>
      </c>
      <c r="H7" s="35">
        <v>5320</v>
      </c>
      <c r="I7" s="35">
        <v>80</v>
      </c>
      <c r="J7" s="36">
        <v>56</v>
      </c>
      <c r="K7" s="37" t="s">
        <v>58</v>
      </c>
      <c r="L7" s="36">
        <v>62</v>
      </c>
      <c r="M7" s="36">
        <v>64</v>
      </c>
      <c r="N7" s="35">
        <v>0.61899999999999999</v>
      </c>
      <c r="O7" s="36">
        <v>14.82</v>
      </c>
      <c r="P7" s="35">
        <v>11430000</v>
      </c>
      <c r="Q7" s="36">
        <v>190400</v>
      </c>
      <c r="R7" s="36">
        <v>235800</v>
      </c>
      <c r="S7" s="72">
        <v>46.3</v>
      </c>
      <c r="T7" s="73">
        <v>1804</v>
      </c>
      <c r="U7" s="35">
        <v>3992000</v>
      </c>
      <c r="V7" s="36">
        <v>75310</v>
      </c>
      <c r="W7" s="36">
        <v>116300</v>
      </c>
      <c r="X7" s="36">
        <v>27.400000000000002</v>
      </c>
      <c r="Y7" s="35">
        <v>66.06</v>
      </c>
      <c r="Z7" s="36">
        <v>682099.99999999988</v>
      </c>
      <c r="AA7" s="36">
        <v>9930000000</v>
      </c>
      <c r="AB7" s="35">
        <v>1</v>
      </c>
      <c r="AC7" s="36">
        <v>1</v>
      </c>
      <c r="AD7" s="36">
        <v>1</v>
      </c>
      <c r="AE7" s="35">
        <v>1</v>
      </c>
      <c r="AF7" s="36">
        <v>1</v>
      </c>
      <c r="AG7" s="36">
        <v>1</v>
      </c>
    </row>
    <row r="8" spans="1:33" x14ac:dyDescent="0.45">
      <c r="A8" s="40" t="s">
        <v>126</v>
      </c>
      <c r="B8" s="36">
        <v>14.6</v>
      </c>
      <c r="C8" s="35">
        <v>109</v>
      </c>
      <c r="D8" s="36">
        <v>120</v>
      </c>
      <c r="E8" s="36">
        <v>4.2</v>
      </c>
      <c r="F8" s="36">
        <v>5.5</v>
      </c>
      <c r="G8" s="36">
        <v>12</v>
      </c>
      <c r="H8" s="35">
        <v>1860.0000000000002</v>
      </c>
      <c r="I8" s="35">
        <v>98</v>
      </c>
      <c r="J8" s="36">
        <v>74</v>
      </c>
      <c r="K8" s="37" t="s">
        <v>68</v>
      </c>
      <c r="L8" s="36">
        <v>58</v>
      </c>
      <c r="M8" s="36">
        <v>68</v>
      </c>
      <c r="N8" s="35">
        <v>0.66900000000000004</v>
      </c>
      <c r="O8" s="36">
        <v>45.94</v>
      </c>
      <c r="P8" s="35">
        <v>4134000</v>
      </c>
      <c r="Q8" s="36">
        <v>75850</v>
      </c>
      <c r="R8" s="36">
        <v>84120</v>
      </c>
      <c r="S8" s="72">
        <v>47.199999999999996</v>
      </c>
      <c r="T8" s="73">
        <v>690</v>
      </c>
      <c r="U8" s="35">
        <v>1588000</v>
      </c>
      <c r="V8" s="36">
        <v>26470</v>
      </c>
      <c r="W8" s="36">
        <v>40620</v>
      </c>
      <c r="X8" s="36">
        <v>29.3</v>
      </c>
      <c r="Y8" s="35">
        <v>29.26</v>
      </c>
      <c r="Z8" s="36">
        <v>27799.999999999996</v>
      </c>
      <c r="AA8" s="36">
        <v>4240000000</v>
      </c>
      <c r="AB8" s="35">
        <v>1</v>
      </c>
      <c r="AC8" s="36">
        <v>3</v>
      </c>
      <c r="AD8" s="36">
        <v>3</v>
      </c>
      <c r="AE8" s="35">
        <v>1</v>
      </c>
      <c r="AF8" s="36">
        <v>3</v>
      </c>
      <c r="AG8" s="36">
        <v>3</v>
      </c>
    </row>
    <row r="9" spans="1:33" x14ac:dyDescent="0.45">
      <c r="A9" s="33" t="s">
        <v>127</v>
      </c>
      <c r="B9" s="31">
        <v>19.899999999999999</v>
      </c>
      <c r="C9" s="30">
        <v>114</v>
      </c>
      <c r="D9" s="31">
        <v>120</v>
      </c>
      <c r="E9" s="31">
        <v>5</v>
      </c>
      <c r="F9" s="31">
        <v>8</v>
      </c>
      <c r="G9" s="31">
        <v>12</v>
      </c>
      <c r="H9" s="30">
        <v>2530</v>
      </c>
      <c r="I9" s="30">
        <v>98</v>
      </c>
      <c r="J9" s="31">
        <v>74</v>
      </c>
      <c r="K9" s="32" t="s">
        <v>70</v>
      </c>
      <c r="L9" s="31">
        <v>58</v>
      </c>
      <c r="M9" s="31">
        <v>68</v>
      </c>
      <c r="N9" s="30">
        <v>0.67700000000000005</v>
      </c>
      <c r="O9" s="31">
        <v>34.06</v>
      </c>
      <c r="P9" s="30">
        <v>6062000</v>
      </c>
      <c r="Q9" s="31">
        <v>106300</v>
      </c>
      <c r="R9" s="31">
        <v>119500</v>
      </c>
      <c r="S9" s="70">
        <v>48.9</v>
      </c>
      <c r="T9" s="71">
        <v>846.00000000000011</v>
      </c>
      <c r="U9" s="30">
        <v>2309000</v>
      </c>
      <c r="V9" s="31">
        <v>38480</v>
      </c>
      <c r="W9" s="31">
        <v>58850</v>
      </c>
      <c r="X9" s="31">
        <v>30.2</v>
      </c>
      <c r="Y9" s="30">
        <v>35.06</v>
      </c>
      <c r="Z9" s="31">
        <v>59900</v>
      </c>
      <c r="AA9" s="31">
        <v>6470000000</v>
      </c>
      <c r="AB9" s="30">
        <v>1</v>
      </c>
      <c r="AC9" s="31">
        <v>1</v>
      </c>
      <c r="AD9" s="31">
        <v>1</v>
      </c>
      <c r="AE9" s="30">
        <v>1</v>
      </c>
      <c r="AF9" s="31">
        <v>1</v>
      </c>
      <c r="AG9" s="31">
        <v>1</v>
      </c>
    </row>
    <row r="10" spans="1:33" x14ac:dyDescent="0.45">
      <c r="A10" s="40" t="s">
        <v>128</v>
      </c>
      <c r="B10" s="36">
        <v>26.7</v>
      </c>
      <c r="C10" s="35">
        <v>120</v>
      </c>
      <c r="D10" s="36">
        <v>120</v>
      </c>
      <c r="E10" s="36">
        <v>6.5</v>
      </c>
      <c r="F10" s="36">
        <v>11</v>
      </c>
      <c r="G10" s="36">
        <v>12</v>
      </c>
      <c r="H10" s="35">
        <v>3400</v>
      </c>
      <c r="I10" s="35">
        <v>98</v>
      </c>
      <c r="J10" s="36">
        <v>74</v>
      </c>
      <c r="K10" s="37" t="s">
        <v>68</v>
      </c>
      <c r="L10" s="36">
        <v>60</v>
      </c>
      <c r="M10" s="36">
        <v>68</v>
      </c>
      <c r="N10" s="35">
        <v>0.68600000000000005</v>
      </c>
      <c r="O10" s="36">
        <v>25.71</v>
      </c>
      <c r="P10" s="35">
        <v>8644000</v>
      </c>
      <c r="Q10" s="36">
        <v>144100</v>
      </c>
      <c r="R10" s="36">
        <v>165200</v>
      </c>
      <c r="S10" s="72">
        <v>50.4</v>
      </c>
      <c r="T10" s="73">
        <v>1096</v>
      </c>
      <c r="U10" s="35">
        <v>3175000</v>
      </c>
      <c r="V10" s="36">
        <v>52920</v>
      </c>
      <c r="W10" s="36">
        <v>80970</v>
      </c>
      <c r="X10" s="36">
        <v>30.6</v>
      </c>
      <c r="Y10" s="35">
        <v>42.56</v>
      </c>
      <c r="Z10" s="36">
        <v>138400</v>
      </c>
      <c r="AA10" s="36">
        <v>9410000000</v>
      </c>
      <c r="AB10" s="35">
        <v>1</v>
      </c>
      <c r="AC10" s="36">
        <v>1</v>
      </c>
      <c r="AD10" s="36">
        <v>1</v>
      </c>
      <c r="AE10" s="35">
        <v>1</v>
      </c>
      <c r="AF10" s="36">
        <v>1</v>
      </c>
      <c r="AG10" s="36">
        <v>1</v>
      </c>
    </row>
    <row r="11" spans="1:33" x14ac:dyDescent="0.45">
      <c r="A11" s="43" t="s">
        <v>129</v>
      </c>
      <c r="B11" s="31">
        <v>39.200000000000003</v>
      </c>
      <c r="C11" s="30">
        <v>130</v>
      </c>
      <c r="D11" s="31">
        <v>123</v>
      </c>
      <c r="E11" s="31">
        <v>9.5</v>
      </c>
      <c r="F11" s="31">
        <v>16</v>
      </c>
      <c r="G11" s="31">
        <v>12</v>
      </c>
      <c r="H11" s="30">
        <v>4990</v>
      </c>
      <c r="I11" s="30">
        <v>98</v>
      </c>
      <c r="J11" s="31">
        <v>74</v>
      </c>
      <c r="K11" s="32" t="s">
        <v>70</v>
      </c>
      <c r="L11" s="31">
        <v>63</v>
      </c>
      <c r="M11" s="31">
        <v>72</v>
      </c>
      <c r="N11" s="30">
        <v>0.71199999999999997</v>
      </c>
      <c r="O11" s="31">
        <v>18.190000000000001</v>
      </c>
      <c r="P11" s="30">
        <v>13880000</v>
      </c>
      <c r="Q11" s="31">
        <v>213600</v>
      </c>
      <c r="R11" s="31">
        <v>252900</v>
      </c>
      <c r="S11" s="70">
        <v>52.699999999999996</v>
      </c>
      <c r="T11" s="71">
        <v>1591</v>
      </c>
      <c r="U11" s="30">
        <v>4977000</v>
      </c>
      <c r="V11" s="31">
        <v>80920</v>
      </c>
      <c r="W11" s="31">
        <v>124200</v>
      </c>
      <c r="X11" s="31">
        <v>31.6</v>
      </c>
      <c r="Y11" s="30">
        <v>55.56</v>
      </c>
      <c r="Z11" s="31">
        <v>409600</v>
      </c>
      <c r="AA11" s="31">
        <v>16120000000.000002</v>
      </c>
      <c r="AB11" s="30">
        <v>1</v>
      </c>
      <c r="AC11" s="31">
        <v>1</v>
      </c>
      <c r="AD11" s="32" t="s">
        <v>43</v>
      </c>
      <c r="AE11" s="30">
        <v>1</v>
      </c>
      <c r="AF11" s="31">
        <v>1</v>
      </c>
      <c r="AG11" s="32" t="s">
        <v>43</v>
      </c>
    </row>
    <row r="12" spans="1:33" x14ac:dyDescent="0.45">
      <c r="A12" s="40" t="s">
        <v>130</v>
      </c>
      <c r="B12" s="36">
        <v>52.1</v>
      </c>
      <c r="C12" s="35">
        <v>140</v>
      </c>
      <c r="D12" s="36">
        <v>126</v>
      </c>
      <c r="E12" s="36">
        <v>12.5</v>
      </c>
      <c r="F12" s="36">
        <v>21</v>
      </c>
      <c r="G12" s="36">
        <v>12</v>
      </c>
      <c r="H12" s="35">
        <v>6640.0000000000009</v>
      </c>
      <c r="I12" s="35">
        <v>98</v>
      </c>
      <c r="J12" s="36">
        <v>74</v>
      </c>
      <c r="K12" s="37" t="s">
        <v>68</v>
      </c>
      <c r="L12" s="36">
        <v>66</v>
      </c>
      <c r="M12" s="36">
        <v>74</v>
      </c>
      <c r="N12" s="35">
        <v>0.73799999999999999</v>
      </c>
      <c r="O12" s="36">
        <v>14.16</v>
      </c>
      <c r="P12" s="35">
        <v>20180000</v>
      </c>
      <c r="Q12" s="36">
        <v>288200</v>
      </c>
      <c r="R12" s="36">
        <v>350600</v>
      </c>
      <c r="S12" s="72">
        <v>55.099999999999994</v>
      </c>
      <c r="T12" s="73">
        <v>2115</v>
      </c>
      <c r="U12" s="35">
        <v>7028000</v>
      </c>
      <c r="V12" s="36">
        <v>111600</v>
      </c>
      <c r="W12" s="36">
        <v>171600</v>
      </c>
      <c r="X12" s="36">
        <v>32.5</v>
      </c>
      <c r="Y12" s="35">
        <v>68.56</v>
      </c>
      <c r="Z12" s="36">
        <v>916600</v>
      </c>
      <c r="AA12" s="36">
        <v>24790000000</v>
      </c>
      <c r="AB12" s="35">
        <v>1</v>
      </c>
      <c r="AC12" s="36">
        <v>1</v>
      </c>
      <c r="AD12" s="36">
        <v>1</v>
      </c>
      <c r="AE12" s="35">
        <v>1</v>
      </c>
      <c r="AF12" s="36">
        <v>1</v>
      </c>
      <c r="AG12" s="36">
        <v>1</v>
      </c>
    </row>
    <row r="13" spans="1:33" x14ac:dyDescent="0.45">
      <c r="A13" s="40" t="s">
        <v>131</v>
      </c>
      <c r="B13" s="36">
        <v>18.100000000000001</v>
      </c>
      <c r="C13" s="35">
        <v>128</v>
      </c>
      <c r="D13" s="36">
        <v>140</v>
      </c>
      <c r="E13" s="36">
        <v>4.3</v>
      </c>
      <c r="F13" s="36">
        <v>6</v>
      </c>
      <c r="G13" s="36">
        <v>12</v>
      </c>
      <c r="H13" s="35">
        <v>2300</v>
      </c>
      <c r="I13" s="35">
        <v>116</v>
      </c>
      <c r="J13" s="36">
        <v>92</v>
      </c>
      <c r="K13" s="37" t="s">
        <v>80</v>
      </c>
      <c r="L13" s="36">
        <v>64</v>
      </c>
      <c r="M13" s="36">
        <v>76</v>
      </c>
      <c r="N13" s="35">
        <v>0.78700000000000003</v>
      </c>
      <c r="O13" s="36">
        <v>43.53</v>
      </c>
      <c r="P13" s="35">
        <v>7195000</v>
      </c>
      <c r="Q13" s="36">
        <v>112400</v>
      </c>
      <c r="R13" s="36">
        <v>123800</v>
      </c>
      <c r="S13" s="72">
        <v>55.9</v>
      </c>
      <c r="T13" s="73">
        <v>792</v>
      </c>
      <c r="U13" s="35">
        <v>2748000</v>
      </c>
      <c r="V13" s="36">
        <v>39260</v>
      </c>
      <c r="W13" s="36">
        <v>59930</v>
      </c>
      <c r="X13" s="36">
        <v>34.5</v>
      </c>
      <c r="Y13" s="35">
        <v>30.36</v>
      </c>
      <c r="Z13" s="36">
        <v>35400</v>
      </c>
      <c r="AA13" s="36">
        <v>10210000000</v>
      </c>
      <c r="AB13" s="35">
        <v>2</v>
      </c>
      <c r="AC13" s="36">
        <v>3</v>
      </c>
      <c r="AD13" s="36">
        <v>3</v>
      </c>
      <c r="AE13" s="35">
        <v>2</v>
      </c>
      <c r="AF13" s="36">
        <v>3</v>
      </c>
      <c r="AG13" s="36">
        <v>3</v>
      </c>
    </row>
    <row r="14" spans="1:33" x14ac:dyDescent="0.45">
      <c r="A14" s="33" t="s">
        <v>132</v>
      </c>
      <c r="B14" s="31">
        <v>24.7</v>
      </c>
      <c r="C14" s="30">
        <v>133</v>
      </c>
      <c r="D14" s="31">
        <v>140</v>
      </c>
      <c r="E14" s="31">
        <v>5.5</v>
      </c>
      <c r="F14" s="31">
        <v>8.5</v>
      </c>
      <c r="G14" s="31">
        <v>12</v>
      </c>
      <c r="H14" s="30">
        <v>3140</v>
      </c>
      <c r="I14" s="30">
        <v>116</v>
      </c>
      <c r="J14" s="31">
        <v>92</v>
      </c>
      <c r="K14" s="32" t="s">
        <v>78</v>
      </c>
      <c r="L14" s="31">
        <v>64</v>
      </c>
      <c r="M14" s="31">
        <v>76</v>
      </c>
      <c r="N14" s="30">
        <v>0.79400000000000004</v>
      </c>
      <c r="O14" s="31">
        <v>32.21</v>
      </c>
      <c r="P14" s="30">
        <v>10330000</v>
      </c>
      <c r="Q14" s="31">
        <v>155400</v>
      </c>
      <c r="R14" s="31">
        <v>173500</v>
      </c>
      <c r="S14" s="70">
        <v>57.300000000000004</v>
      </c>
      <c r="T14" s="71">
        <v>1011.9999999999999</v>
      </c>
      <c r="U14" s="30">
        <v>3893000</v>
      </c>
      <c r="V14" s="31">
        <v>55620</v>
      </c>
      <c r="W14" s="31">
        <v>84850</v>
      </c>
      <c r="X14" s="31">
        <v>35.200000000000003</v>
      </c>
      <c r="Y14" s="30">
        <v>36.56</v>
      </c>
      <c r="Z14" s="31">
        <v>81300.000000000015</v>
      </c>
      <c r="AA14" s="31">
        <v>15060000000</v>
      </c>
      <c r="AB14" s="30">
        <v>1</v>
      </c>
      <c r="AC14" s="31">
        <v>1</v>
      </c>
      <c r="AD14" s="31">
        <v>2</v>
      </c>
      <c r="AE14" s="30">
        <v>1</v>
      </c>
      <c r="AF14" s="31">
        <v>1</v>
      </c>
      <c r="AG14" s="31">
        <v>2</v>
      </c>
    </row>
    <row r="15" spans="1:33" x14ac:dyDescent="0.45">
      <c r="A15" s="40" t="s">
        <v>133</v>
      </c>
      <c r="B15" s="36">
        <v>33.700000000000003</v>
      </c>
      <c r="C15" s="35">
        <v>140</v>
      </c>
      <c r="D15" s="36">
        <v>140</v>
      </c>
      <c r="E15" s="36">
        <v>7</v>
      </c>
      <c r="F15" s="36">
        <v>12</v>
      </c>
      <c r="G15" s="36">
        <v>12</v>
      </c>
      <c r="H15" s="35">
        <v>4300</v>
      </c>
      <c r="I15" s="35">
        <v>116</v>
      </c>
      <c r="J15" s="36">
        <v>92</v>
      </c>
      <c r="K15" s="37" t="s">
        <v>80</v>
      </c>
      <c r="L15" s="36">
        <v>66</v>
      </c>
      <c r="M15" s="36">
        <v>76</v>
      </c>
      <c r="N15" s="35">
        <v>0.80500000000000005</v>
      </c>
      <c r="O15" s="36">
        <v>23.88</v>
      </c>
      <c r="P15" s="35">
        <v>15090000</v>
      </c>
      <c r="Q15" s="36">
        <v>215600</v>
      </c>
      <c r="R15" s="36">
        <v>245400</v>
      </c>
      <c r="S15" s="72">
        <v>59.3</v>
      </c>
      <c r="T15" s="73">
        <v>1308</v>
      </c>
      <c r="U15" s="35">
        <v>5497000</v>
      </c>
      <c r="V15" s="36">
        <v>78520</v>
      </c>
      <c r="W15" s="36">
        <v>119800</v>
      </c>
      <c r="X15" s="36">
        <v>35.799999999999997</v>
      </c>
      <c r="Y15" s="35">
        <v>45.06</v>
      </c>
      <c r="Z15" s="36">
        <v>200600</v>
      </c>
      <c r="AA15" s="36">
        <v>22480000000</v>
      </c>
      <c r="AB15" s="35">
        <v>1</v>
      </c>
      <c r="AC15" s="36">
        <v>1</v>
      </c>
      <c r="AD15" s="36">
        <v>1</v>
      </c>
      <c r="AE15" s="35">
        <v>1</v>
      </c>
      <c r="AF15" s="36">
        <v>1</v>
      </c>
      <c r="AG15" s="36">
        <v>1</v>
      </c>
    </row>
    <row r="16" spans="1:33" x14ac:dyDescent="0.45">
      <c r="A16" s="43" t="s">
        <v>134</v>
      </c>
      <c r="B16" s="31">
        <v>48.2</v>
      </c>
      <c r="C16" s="30">
        <v>150</v>
      </c>
      <c r="D16" s="31">
        <v>143</v>
      </c>
      <c r="E16" s="31">
        <v>10</v>
      </c>
      <c r="F16" s="31">
        <v>17</v>
      </c>
      <c r="G16" s="31">
        <v>12</v>
      </c>
      <c r="H16" s="30">
        <v>6150</v>
      </c>
      <c r="I16" s="30">
        <v>116</v>
      </c>
      <c r="J16" s="31">
        <v>92</v>
      </c>
      <c r="K16" s="32" t="s">
        <v>78</v>
      </c>
      <c r="L16" s="31">
        <v>69</v>
      </c>
      <c r="M16" s="31">
        <v>79</v>
      </c>
      <c r="N16" s="30">
        <v>0.83099999999999996</v>
      </c>
      <c r="O16" s="31">
        <v>17.22</v>
      </c>
      <c r="P16" s="30">
        <v>23300000</v>
      </c>
      <c r="Q16" s="31">
        <v>310600</v>
      </c>
      <c r="R16" s="31">
        <v>363800</v>
      </c>
      <c r="S16" s="70">
        <v>61.6</v>
      </c>
      <c r="T16" s="71">
        <v>1862</v>
      </c>
      <c r="U16" s="30">
        <v>8303000</v>
      </c>
      <c r="V16" s="31">
        <v>116100</v>
      </c>
      <c r="W16" s="31">
        <v>177700</v>
      </c>
      <c r="X16" s="31">
        <v>36.800000000000004</v>
      </c>
      <c r="Y16" s="30">
        <v>58.06</v>
      </c>
      <c r="Z16" s="31">
        <v>556800</v>
      </c>
      <c r="AA16" s="31">
        <v>36640000000</v>
      </c>
      <c r="AB16" s="30">
        <v>1</v>
      </c>
      <c r="AC16" s="31">
        <v>1</v>
      </c>
      <c r="AD16" s="32" t="s">
        <v>43</v>
      </c>
      <c r="AE16" s="30">
        <v>1</v>
      </c>
      <c r="AF16" s="31">
        <v>1</v>
      </c>
      <c r="AG16" s="32" t="s">
        <v>43</v>
      </c>
    </row>
    <row r="17" spans="1:33" x14ac:dyDescent="0.45">
      <c r="A17" s="40" t="s">
        <v>135</v>
      </c>
      <c r="B17" s="36">
        <v>63.2</v>
      </c>
      <c r="C17" s="35">
        <v>160</v>
      </c>
      <c r="D17" s="36">
        <v>146</v>
      </c>
      <c r="E17" s="36">
        <v>13</v>
      </c>
      <c r="F17" s="36">
        <v>22</v>
      </c>
      <c r="G17" s="36">
        <v>12</v>
      </c>
      <c r="H17" s="35">
        <v>8059.9999999999991</v>
      </c>
      <c r="I17" s="35">
        <v>116</v>
      </c>
      <c r="J17" s="36">
        <v>92</v>
      </c>
      <c r="K17" s="37" t="s">
        <v>80</v>
      </c>
      <c r="L17" s="36">
        <v>72</v>
      </c>
      <c r="M17" s="36">
        <v>82</v>
      </c>
      <c r="N17" s="35">
        <v>0.85699999999999998</v>
      </c>
      <c r="O17" s="36">
        <v>13.56</v>
      </c>
      <c r="P17" s="35">
        <v>32910000</v>
      </c>
      <c r="Q17" s="36">
        <v>411400</v>
      </c>
      <c r="R17" s="36">
        <v>493800</v>
      </c>
      <c r="S17" s="72">
        <v>63.9</v>
      </c>
      <c r="T17" s="73">
        <v>2446</v>
      </c>
      <c r="U17" s="35">
        <v>11440000</v>
      </c>
      <c r="V17" s="36">
        <v>156800</v>
      </c>
      <c r="W17" s="36">
        <v>240500</v>
      </c>
      <c r="X17" s="36">
        <v>37.700000000000003</v>
      </c>
      <c r="Y17" s="35">
        <v>71.06</v>
      </c>
      <c r="Z17" s="36">
        <v>1200000</v>
      </c>
      <c r="AA17" s="36">
        <v>54330000000</v>
      </c>
      <c r="AB17" s="35">
        <v>1</v>
      </c>
      <c r="AC17" s="36">
        <v>1</v>
      </c>
      <c r="AD17" s="36">
        <v>1</v>
      </c>
      <c r="AE17" s="35">
        <v>1</v>
      </c>
      <c r="AF17" s="36">
        <v>1</v>
      </c>
      <c r="AG17" s="36">
        <v>1</v>
      </c>
    </row>
    <row r="18" spans="1:33" x14ac:dyDescent="0.45">
      <c r="A18" s="40" t="s">
        <v>136</v>
      </c>
      <c r="B18" s="36">
        <v>23.8</v>
      </c>
      <c r="C18" s="35">
        <v>148</v>
      </c>
      <c r="D18" s="36">
        <v>160</v>
      </c>
      <c r="E18" s="36">
        <v>4.5</v>
      </c>
      <c r="F18" s="36">
        <v>7</v>
      </c>
      <c r="G18" s="36">
        <v>15</v>
      </c>
      <c r="H18" s="35">
        <v>3040</v>
      </c>
      <c r="I18" s="35">
        <v>134</v>
      </c>
      <c r="J18" s="36">
        <v>104</v>
      </c>
      <c r="K18" s="37" t="s">
        <v>137</v>
      </c>
      <c r="L18" s="36">
        <v>76</v>
      </c>
      <c r="M18" s="36">
        <v>84</v>
      </c>
      <c r="N18" s="35">
        <v>0.90100000000000002</v>
      </c>
      <c r="O18" s="36">
        <v>37.81</v>
      </c>
      <c r="P18" s="35">
        <v>12830000</v>
      </c>
      <c r="Q18" s="36">
        <v>173400</v>
      </c>
      <c r="R18" s="36">
        <v>190400</v>
      </c>
      <c r="S18" s="72">
        <v>65</v>
      </c>
      <c r="T18" s="73">
        <v>1038</v>
      </c>
      <c r="U18" s="35">
        <v>4787000</v>
      </c>
      <c r="V18" s="36">
        <v>59840</v>
      </c>
      <c r="W18" s="36">
        <v>91360</v>
      </c>
      <c r="X18" s="36">
        <v>39.700000000000003</v>
      </c>
      <c r="Y18" s="35">
        <v>36.07</v>
      </c>
      <c r="Z18" s="36">
        <v>63300</v>
      </c>
      <c r="AA18" s="36">
        <v>23750000000</v>
      </c>
      <c r="AB18" s="35">
        <v>1</v>
      </c>
      <c r="AC18" s="36">
        <v>3</v>
      </c>
      <c r="AD18" s="36">
        <v>3</v>
      </c>
      <c r="AE18" s="35">
        <v>1</v>
      </c>
      <c r="AF18" s="36">
        <v>3</v>
      </c>
      <c r="AG18" s="36">
        <v>3</v>
      </c>
    </row>
    <row r="19" spans="1:33" x14ac:dyDescent="0.45">
      <c r="A19" s="33" t="s">
        <v>138</v>
      </c>
      <c r="B19" s="31">
        <v>30.4</v>
      </c>
      <c r="C19" s="30">
        <v>152</v>
      </c>
      <c r="D19" s="31">
        <v>160</v>
      </c>
      <c r="E19" s="31">
        <v>6</v>
      </c>
      <c r="F19" s="31">
        <v>9</v>
      </c>
      <c r="G19" s="31">
        <v>15</v>
      </c>
      <c r="H19" s="30">
        <v>3879.9999999999995</v>
      </c>
      <c r="I19" s="30">
        <v>134</v>
      </c>
      <c r="J19" s="31">
        <v>104</v>
      </c>
      <c r="K19" s="32" t="s">
        <v>139</v>
      </c>
      <c r="L19" s="31">
        <v>78</v>
      </c>
      <c r="M19" s="31">
        <v>84</v>
      </c>
      <c r="N19" s="30">
        <v>0.90600000000000003</v>
      </c>
      <c r="O19" s="31">
        <v>29.78</v>
      </c>
      <c r="P19" s="30">
        <v>16730000</v>
      </c>
      <c r="Q19" s="31">
        <v>220100</v>
      </c>
      <c r="R19" s="31">
        <v>245100</v>
      </c>
      <c r="S19" s="70">
        <v>65.7</v>
      </c>
      <c r="T19" s="71">
        <v>1321</v>
      </c>
      <c r="U19" s="30">
        <v>6156000</v>
      </c>
      <c r="V19" s="31">
        <v>76950</v>
      </c>
      <c r="W19" s="31">
        <v>117600</v>
      </c>
      <c r="X19" s="31">
        <v>39.799999999999997</v>
      </c>
      <c r="Y19" s="30">
        <v>41.57</v>
      </c>
      <c r="Z19" s="31">
        <v>121900</v>
      </c>
      <c r="AA19" s="31">
        <v>31410000000</v>
      </c>
      <c r="AB19" s="30">
        <v>1</v>
      </c>
      <c r="AC19" s="31">
        <v>1</v>
      </c>
      <c r="AD19" s="31">
        <v>2</v>
      </c>
      <c r="AE19" s="30">
        <v>1</v>
      </c>
      <c r="AF19" s="31">
        <v>1</v>
      </c>
      <c r="AG19" s="31">
        <v>2</v>
      </c>
    </row>
    <row r="20" spans="1:33" x14ac:dyDescent="0.45">
      <c r="A20" s="40" t="s">
        <v>140</v>
      </c>
      <c r="B20" s="36">
        <v>42.6</v>
      </c>
      <c r="C20" s="35">
        <v>160</v>
      </c>
      <c r="D20" s="36">
        <v>160</v>
      </c>
      <c r="E20" s="36">
        <v>8</v>
      </c>
      <c r="F20" s="36">
        <v>13</v>
      </c>
      <c r="G20" s="36">
        <v>15</v>
      </c>
      <c r="H20" s="35">
        <v>5430</v>
      </c>
      <c r="I20" s="35">
        <v>134</v>
      </c>
      <c r="J20" s="36">
        <v>104</v>
      </c>
      <c r="K20" s="37" t="s">
        <v>137</v>
      </c>
      <c r="L20" s="36">
        <v>80</v>
      </c>
      <c r="M20" s="36">
        <v>84</v>
      </c>
      <c r="N20" s="35">
        <v>0.91800000000000004</v>
      </c>
      <c r="O20" s="36">
        <v>21.56</v>
      </c>
      <c r="P20" s="35">
        <v>24920000</v>
      </c>
      <c r="Q20" s="36">
        <v>311500</v>
      </c>
      <c r="R20" s="36">
        <v>354000</v>
      </c>
      <c r="S20" s="72">
        <v>67.8</v>
      </c>
      <c r="T20" s="73">
        <v>1759</v>
      </c>
      <c r="U20" s="35">
        <v>8892000</v>
      </c>
      <c r="V20" s="36">
        <v>111200</v>
      </c>
      <c r="W20" s="36">
        <v>170000</v>
      </c>
      <c r="X20" s="36">
        <v>40.5</v>
      </c>
      <c r="Y20" s="35">
        <v>51.57</v>
      </c>
      <c r="Z20" s="36">
        <v>312400</v>
      </c>
      <c r="AA20" s="36">
        <v>47940000000</v>
      </c>
      <c r="AB20" s="35">
        <v>1</v>
      </c>
      <c r="AC20" s="36">
        <v>1</v>
      </c>
      <c r="AD20" s="36">
        <v>1</v>
      </c>
      <c r="AE20" s="35">
        <v>1</v>
      </c>
      <c r="AF20" s="36">
        <v>1</v>
      </c>
      <c r="AG20" s="36">
        <v>1</v>
      </c>
    </row>
    <row r="21" spans="1:33" x14ac:dyDescent="0.45">
      <c r="A21" s="43" t="s">
        <v>141</v>
      </c>
      <c r="B21" s="31">
        <v>59.2</v>
      </c>
      <c r="C21" s="30">
        <v>170</v>
      </c>
      <c r="D21" s="31">
        <v>163</v>
      </c>
      <c r="E21" s="31">
        <v>11</v>
      </c>
      <c r="F21" s="31">
        <v>18</v>
      </c>
      <c r="G21" s="31">
        <v>15</v>
      </c>
      <c r="H21" s="30">
        <v>7540.0000000000009</v>
      </c>
      <c r="I21" s="30">
        <v>134</v>
      </c>
      <c r="J21" s="31">
        <v>104</v>
      </c>
      <c r="K21" s="32" t="s">
        <v>139</v>
      </c>
      <c r="L21" s="31">
        <v>84</v>
      </c>
      <c r="M21" s="31">
        <v>88</v>
      </c>
      <c r="N21" s="30">
        <v>0.94399999999999995</v>
      </c>
      <c r="O21" s="31">
        <v>15.95</v>
      </c>
      <c r="P21" s="30">
        <v>37040000</v>
      </c>
      <c r="Q21" s="31">
        <v>435800</v>
      </c>
      <c r="R21" s="31">
        <v>507600</v>
      </c>
      <c r="S21" s="70">
        <v>70.099999999999994</v>
      </c>
      <c r="T21" s="71">
        <v>2405</v>
      </c>
      <c r="U21" s="30">
        <v>13020000</v>
      </c>
      <c r="V21" s="31">
        <v>159800</v>
      </c>
      <c r="W21" s="31">
        <v>244900</v>
      </c>
      <c r="X21" s="31">
        <v>41.6</v>
      </c>
      <c r="Y21" s="30">
        <v>64.569999999999993</v>
      </c>
      <c r="Z21" s="31">
        <v>792099.99999999988</v>
      </c>
      <c r="AA21" s="31">
        <v>75040000000</v>
      </c>
      <c r="AB21" s="30">
        <v>1</v>
      </c>
      <c r="AC21" s="31">
        <v>1</v>
      </c>
      <c r="AD21" s="32" t="s">
        <v>43</v>
      </c>
      <c r="AE21" s="30">
        <v>1</v>
      </c>
      <c r="AF21" s="31">
        <v>1</v>
      </c>
      <c r="AG21" s="32" t="s">
        <v>43</v>
      </c>
    </row>
    <row r="22" spans="1:33" x14ac:dyDescent="0.45">
      <c r="A22" s="40" t="s">
        <v>142</v>
      </c>
      <c r="B22" s="36">
        <v>76.2</v>
      </c>
      <c r="C22" s="35">
        <v>180</v>
      </c>
      <c r="D22" s="36">
        <v>166</v>
      </c>
      <c r="E22" s="36">
        <v>14</v>
      </c>
      <c r="F22" s="36">
        <v>23</v>
      </c>
      <c r="G22" s="36">
        <v>15</v>
      </c>
      <c r="H22" s="35">
        <v>9710</v>
      </c>
      <c r="I22" s="35">
        <v>134</v>
      </c>
      <c r="J22" s="36">
        <v>104</v>
      </c>
      <c r="K22" s="37" t="s">
        <v>137</v>
      </c>
      <c r="L22" s="36">
        <v>86</v>
      </c>
      <c r="M22" s="36">
        <v>90</v>
      </c>
      <c r="N22" s="35">
        <v>0.97</v>
      </c>
      <c r="O22" s="36">
        <v>12.74</v>
      </c>
      <c r="P22" s="35">
        <v>50980000</v>
      </c>
      <c r="Q22" s="36">
        <v>566500</v>
      </c>
      <c r="R22" s="36">
        <v>674600</v>
      </c>
      <c r="S22" s="72">
        <v>72.5</v>
      </c>
      <c r="T22" s="73">
        <v>3081</v>
      </c>
      <c r="U22" s="35">
        <v>17590000</v>
      </c>
      <c r="V22" s="36">
        <v>211900</v>
      </c>
      <c r="W22" s="36">
        <v>325500</v>
      </c>
      <c r="X22" s="36">
        <v>42.599999999999994</v>
      </c>
      <c r="Y22" s="35">
        <v>77.569999999999993</v>
      </c>
      <c r="Z22" s="36">
        <v>1624000</v>
      </c>
      <c r="AA22" s="36">
        <v>108100000000</v>
      </c>
      <c r="AB22" s="35">
        <v>1</v>
      </c>
      <c r="AC22" s="36">
        <v>1</v>
      </c>
      <c r="AD22" s="36">
        <v>1</v>
      </c>
      <c r="AE22" s="35">
        <v>1</v>
      </c>
      <c r="AF22" s="36">
        <v>1</v>
      </c>
      <c r="AG22" s="36">
        <v>1</v>
      </c>
    </row>
    <row r="23" spans="1:33" x14ac:dyDescent="0.45">
      <c r="A23" s="40" t="s">
        <v>143</v>
      </c>
      <c r="B23" s="36">
        <v>28.7</v>
      </c>
      <c r="C23" s="35">
        <v>167</v>
      </c>
      <c r="D23" s="36">
        <v>180</v>
      </c>
      <c r="E23" s="36">
        <v>5</v>
      </c>
      <c r="F23" s="36">
        <v>7.5</v>
      </c>
      <c r="G23" s="36">
        <v>15</v>
      </c>
      <c r="H23" s="35">
        <v>3650</v>
      </c>
      <c r="I23" s="35">
        <v>152</v>
      </c>
      <c r="J23" s="36">
        <v>122</v>
      </c>
      <c r="K23" s="37" t="s">
        <v>99</v>
      </c>
      <c r="L23" s="36">
        <v>84</v>
      </c>
      <c r="M23" s="36">
        <v>92</v>
      </c>
      <c r="N23" s="35">
        <v>1.018</v>
      </c>
      <c r="O23" s="36">
        <v>35.51</v>
      </c>
      <c r="P23" s="35">
        <v>19670000</v>
      </c>
      <c r="Q23" s="36">
        <v>235600</v>
      </c>
      <c r="R23" s="36">
        <v>258200</v>
      </c>
      <c r="S23" s="72">
        <v>73.400000000000006</v>
      </c>
      <c r="T23" s="73">
        <v>1216</v>
      </c>
      <c r="U23" s="35">
        <v>7300000</v>
      </c>
      <c r="V23" s="36">
        <v>81110</v>
      </c>
      <c r="W23" s="36">
        <v>123600</v>
      </c>
      <c r="X23" s="36">
        <v>44.699999999999996</v>
      </c>
      <c r="Y23" s="35">
        <v>37.57</v>
      </c>
      <c r="Z23" s="36">
        <v>83300</v>
      </c>
      <c r="AA23" s="36">
        <v>46360000000</v>
      </c>
      <c r="AB23" s="35">
        <v>2</v>
      </c>
      <c r="AC23" s="36">
        <v>3</v>
      </c>
      <c r="AD23" s="36">
        <v>3</v>
      </c>
      <c r="AE23" s="35">
        <v>2</v>
      </c>
      <c r="AF23" s="36">
        <v>3</v>
      </c>
      <c r="AG23" s="36">
        <v>3</v>
      </c>
    </row>
    <row r="24" spans="1:33" x14ac:dyDescent="0.45">
      <c r="A24" s="33" t="s">
        <v>144</v>
      </c>
      <c r="B24" s="31">
        <v>35.5</v>
      </c>
      <c r="C24" s="30">
        <v>171</v>
      </c>
      <c r="D24" s="31">
        <v>180</v>
      </c>
      <c r="E24" s="31">
        <v>6</v>
      </c>
      <c r="F24" s="31">
        <v>9.5</v>
      </c>
      <c r="G24" s="31">
        <v>15</v>
      </c>
      <c r="H24" s="30">
        <v>4530</v>
      </c>
      <c r="I24" s="30">
        <v>152</v>
      </c>
      <c r="J24" s="31">
        <v>122</v>
      </c>
      <c r="K24" s="32" t="s">
        <v>97</v>
      </c>
      <c r="L24" s="31">
        <v>86</v>
      </c>
      <c r="M24" s="31">
        <v>92</v>
      </c>
      <c r="N24" s="30">
        <v>1.024</v>
      </c>
      <c r="O24" s="31">
        <v>28.83</v>
      </c>
      <c r="P24" s="30">
        <v>25100000</v>
      </c>
      <c r="Q24" s="31">
        <v>293600</v>
      </c>
      <c r="R24" s="31">
        <v>324900</v>
      </c>
      <c r="S24" s="70">
        <v>74.5</v>
      </c>
      <c r="T24" s="71">
        <v>1447</v>
      </c>
      <c r="U24" s="30">
        <v>9246000</v>
      </c>
      <c r="V24" s="31">
        <v>102700</v>
      </c>
      <c r="W24" s="31">
        <v>156500</v>
      </c>
      <c r="X24" s="31">
        <v>45.199999999999996</v>
      </c>
      <c r="Y24" s="30">
        <v>42.57</v>
      </c>
      <c r="Z24" s="31">
        <v>148000</v>
      </c>
      <c r="AA24" s="31">
        <v>60210000000</v>
      </c>
      <c r="AB24" s="30">
        <v>1</v>
      </c>
      <c r="AC24" s="31">
        <v>2</v>
      </c>
      <c r="AD24" s="31">
        <v>3</v>
      </c>
      <c r="AE24" s="30">
        <v>1</v>
      </c>
      <c r="AF24" s="31">
        <v>2</v>
      </c>
      <c r="AG24" s="31">
        <v>3</v>
      </c>
    </row>
    <row r="25" spans="1:33" x14ac:dyDescent="0.45">
      <c r="A25" s="40" t="s">
        <v>145</v>
      </c>
      <c r="B25" s="36">
        <v>51.2</v>
      </c>
      <c r="C25" s="35">
        <v>180</v>
      </c>
      <c r="D25" s="36">
        <v>180</v>
      </c>
      <c r="E25" s="36">
        <v>8.5</v>
      </c>
      <c r="F25" s="36">
        <v>14</v>
      </c>
      <c r="G25" s="36">
        <v>15</v>
      </c>
      <c r="H25" s="35">
        <v>6530</v>
      </c>
      <c r="I25" s="35">
        <v>152</v>
      </c>
      <c r="J25" s="36">
        <v>122</v>
      </c>
      <c r="K25" s="37" t="s">
        <v>99</v>
      </c>
      <c r="L25" s="36">
        <v>88</v>
      </c>
      <c r="M25" s="36">
        <v>92</v>
      </c>
      <c r="N25" s="35">
        <v>1.0369999999999999</v>
      </c>
      <c r="O25" s="36">
        <v>20.25</v>
      </c>
      <c r="P25" s="35">
        <v>38310000</v>
      </c>
      <c r="Q25" s="36">
        <v>425700</v>
      </c>
      <c r="R25" s="36">
        <v>481400</v>
      </c>
      <c r="S25" s="72">
        <v>76.599999999999994</v>
      </c>
      <c r="T25" s="73">
        <v>2023.9999999999998</v>
      </c>
      <c r="U25" s="35">
        <v>13630000</v>
      </c>
      <c r="V25" s="36">
        <v>151400</v>
      </c>
      <c r="W25" s="36">
        <v>231000</v>
      </c>
      <c r="X25" s="36">
        <v>45.7</v>
      </c>
      <c r="Y25" s="35">
        <v>54.07</v>
      </c>
      <c r="Z25" s="36">
        <v>421599.99999999994</v>
      </c>
      <c r="AA25" s="36">
        <v>93750000000</v>
      </c>
      <c r="AB25" s="35">
        <v>1</v>
      </c>
      <c r="AC25" s="36">
        <v>1</v>
      </c>
      <c r="AD25" s="36">
        <v>1</v>
      </c>
      <c r="AE25" s="35">
        <v>1</v>
      </c>
      <c r="AF25" s="36">
        <v>1</v>
      </c>
      <c r="AG25" s="36">
        <v>1</v>
      </c>
    </row>
    <row r="26" spans="1:33" x14ac:dyDescent="0.45">
      <c r="A26" s="43" t="s">
        <v>146</v>
      </c>
      <c r="B26" s="31">
        <v>69.8</v>
      </c>
      <c r="C26" s="30">
        <v>190</v>
      </c>
      <c r="D26" s="31">
        <v>183</v>
      </c>
      <c r="E26" s="31">
        <v>11.5</v>
      </c>
      <c r="F26" s="31">
        <v>19</v>
      </c>
      <c r="G26" s="31">
        <v>15</v>
      </c>
      <c r="H26" s="30">
        <v>8900</v>
      </c>
      <c r="I26" s="30">
        <v>152</v>
      </c>
      <c r="J26" s="31">
        <v>122</v>
      </c>
      <c r="K26" s="32" t="s">
        <v>110</v>
      </c>
      <c r="L26" s="31">
        <v>92</v>
      </c>
      <c r="M26" s="31">
        <v>96</v>
      </c>
      <c r="N26" s="30">
        <v>1.0629999999999999</v>
      </c>
      <c r="O26" s="31">
        <v>15.22</v>
      </c>
      <c r="P26" s="30">
        <v>55430000</v>
      </c>
      <c r="Q26" s="31">
        <v>583500</v>
      </c>
      <c r="R26" s="31">
        <v>675000</v>
      </c>
      <c r="S26" s="70">
        <v>78.899999999999991</v>
      </c>
      <c r="T26" s="71">
        <v>2730</v>
      </c>
      <c r="U26" s="30">
        <v>19440000</v>
      </c>
      <c r="V26" s="31">
        <v>212500</v>
      </c>
      <c r="W26" s="31">
        <v>324900</v>
      </c>
      <c r="X26" s="31">
        <v>46.8</v>
      </c>
      <c r="Y26" s="30">
        <v>67.069999999999993</v>
      </c>
      <c r="Z26" s="31">
        <v>1021000</v>
      </c>
      <c r="AA26" s="31">
        <v>141900000000</v>
      </c>
      <c r="AB26" s="30">
        <v>1</v>
      </c>
      <c r="AC26" s="31">
        <v>1</v>
      </c>
      <c r="AD26" s="32" t="s">
        <v>43</v>
      </c>
      <c r="AE26" s="30">
        <v>1</v>
      </c>
      <c r="AF26" s="31">
        <v>1</v>
      </c>
      <c r="AG26" s="32" t="s">
        <v>43</v>
      </c>
    </row>
    <row r="27" spans="1:33" x14ac:dyDescent="0.45">
      <c r="A27" s="40" t="s">
        <v>147</v>
      </c>
      <c r="B27" s="36">
        <v>88.9</v>
      </c>
      <c r="C27" s="35">
        <v>200</v>
      </c>
      <c r="D27" s="36">
        <v>186</v>
      </c>
      <c r="E27" s="36">
        <v>14.5</v>
      </c>
      <c r="F27" s="36">
        <v>24</v>
      </c>
      <c r="G27" s="36">
        <v>15</v>
      </c>
      <c r="H27" s="35">
        <v>11330</v>
      </c>
      <c r="I27" s="35">
        <v>152</v>
      </c>
      <c r="J27" s="36">
        <v>122</v>
      </c>
      <c r="K27" s="37" t="s">
        <v>99</v>
      </c>
      <c r="L27" s="36">
        <v>94</v>
      </c>
      <c r="M27" s="36">
        <v>98</v>
      </c>
      <c r="N27" s="35">
        <v>1.089</v>
      </c>
      <c r="O27" s="36">
        <v>12.25</v>
      </c>
      <c r="P27" s="35">
        <v>74830000</v>
      </c>
      <c r="Q27" s="36">
        <v>748300</v>
      </c>
      <c r="R27" s="36">
        <v>883400</v>
      </c>
      <c r="S27" s="72">
        <v>81.300000000000011</v>
      </c>
      <c r="T27" s="73">
        <v>3465</v>
      </c>
      <c r="U27" s="35">
        <v>25800000</v>
      </c>
      <c r="V27" s="36">
        <v>277400</v>
      </c>
      <c r="W27" s="36">
        <v>425200</v>
      </c>
      <c r="X27" s="36">
        <v>47.699999999999996</v>
      </c>
      <c r="Y27" s="35">
        <v>80.069999999999993</v>
      </c>
      <c r="Z27" s="36">
        <v>2033000</v>
      </c>
      <c r="AA27" s="36">
        <v>199300000000</v>
      </c>
      <c r="AB27" s="35">
        <v>1</v>
      </c>
      <c r="AC27" s="36">
        <v>1</v>
      </c>
      <c r="AD27" s="36">
        <v>1</v>
      </c>
      <c r="AE27" s="35">
        <v>1</v>
      </c>
      <c r="AF27" s="36">
        <v>1</v>
      </c>
      <c r="AG27" s="36">
        <v>1</v>
      </c>
    </row>
    <row r="28" spans="1:33" x14ac:dyDescent="0.45">
      <c r="A28" s="40" t="s">
        <v>148</v>
      </c>
      <c r="B28" s="36">
        <v>34.6</v>
      </c>
      <c r="C28" s="35">
        <v>186</v>
      </c>
      <c r="D28" s="36">
        <v>200</v>
      </c>
      <c r="E28" s="36">
        <v>5.5</v>
      </c>
      <c r="F28" s="36">
        <v>8</v>
      </c>
      <c r="G28" s="36">
        <v>18</v>
      </c>
      <c r="H28" s="35">
        <v>4410</v>
      </c>
      <c r="I28" s="35">
        <v>170</v>
      </c>
      <c r="J28" s="36">
        <v>134</v>
      </c>
      <c r="K28" s="37" t="s">
        <v>108</v>
      </c>
      <c r="L28" s="36">
        <v>96</v>
      </c>
      <c r="M28" s="36">
        <v>100</v>
      </c>
      <c r="N28" s="35">
        <v>1.1299999999999999</v>
      </c>
      <c r="O28" s="36">
        <v>32.619999999999997</v>
      </c>
      <c r="P28" s="35">
        <v>29440000</v>
      </c>
      <c r="Q28" s="36">
        <v>316600</v>
      </c>
      <c r="R28" s="36">
        <v>347100</v>
      </c>
      <c r="S28" s="72">
        <v>81.7</v>
      </c>
      <c r="T28" s="73">
        <v>1545</v>
      </c>
      <c r="U28" s="35">
        <v>10680000</v>
      </c>
      <c r="V28" s="36">
        <v>106800</v>
      </c>
      <c r="W28" s="36">
        <v>163200</v>
      </c>
      <c r="X28" s="36">
        <v>49.2</v>
      </c>
      <c r="Y28" s="35">
        <v>42.59</v>
      </c>
      <c r="Z28" s="36">
        <v>126900</v>
      </c>
      <c r="AA28" s="36">
        <v>84490000000</v>
      </c>
      <c r="AB28" s="35">
        <v>2</v>
      </c>
      <c r="AC28" s="36">
        <v>3</v>
      </c>
      <c r="AD28" s="36">
        <v>3</v>
      </c>
      <c r="AE28" s="35">
        <v>2</v>
      </c>
      <c r="AF28" s="36">
        <v>3</v>
      </c>
      <c r="AG28" s="36">
        <v>3</v>
      </c>
    </row>
    <row r="29" spans="1:33" x14ac:dyDescent="0.45">
      <c r="A29" s="33" t="s">
        <v>149</v>
      </c>
      <c r="B29" s="31">
        <v>42.3</v>
      </c>
      <c r="C29" s="30">
        <v>190</v>
      </c>
      <c r="D29" s="31">
        <v>200</v>
      </c>
      <c r="E29" s="31">
        <v>6.5</v>
      </c>
      <c r="F29" s="31">
        <v>10</v>
      </c>
      <c r="G29" s="31">
        <v>18</v>
      </c>
      <c r="H29" s="30">
        <v>5380</v>
      </c>
      <c r="I29" s="30">
        <v>170</v>
      </c>
      <c r="J29" s="31">
        <v>134</v>
      </c>
      <c r="K29" s="32" t="s">
        <v>110</v>
      </c>
      <c r="L29" s="31">
        <v>98</v>
      </c>
      <c r="M29" s="31">
        <v>100</v>
      </c>
      <c r="N29" s="30">
        <v>1.1359999999999999</v>
      </c>
      <c r="O29" s="31">
        <v>26.89</v>
      </c>
      <c r="P29" s="30">
        <v>36920000</v>
      </c>
      <c r="Q29" s="31">
        <v>388600</v>
      </c>
      <c r="R29" s="31">
        <v>429500</v>
      </c>
      <c r="S29" s="70">
        <v>82.8</v>
      </c>
      <c r="T29" s="71">
        <v>1807.9999999999998</v>
      </c>
      <c r="U29" s="30">
        <v>13360000</v>
      </c>
      <c r="V29" s="31">
        <v>133600</v>
      </c>
      <c r="W29" s="31">
        <v>203800</v>
      </c>
      <c r="X29" s="31">
        <v>49.800000000000004</v>
      </c>
      <c r="Y29" s="30">
        <v>47.59</v>
      </c>
      <c r="Z29" s="31">
        <v>209800</v>
      </c>
      <c r="AA29" s="31">
        <v>108000000000</v>
      </c>
      <c r="AB29" s="30">
        <v>1</v>
      </c>
      <c r="AC29" s="31">
        <v>2</v>
      </c>
      <c r="AD29" s="31">
        <v>3</v>
      </c>
      <c r="AE29" s="30">
        <v>1</v>
      </c>
      <c r="AF29" s="31">
        <v>2</v>
      </c>
      <c r="AG29" s="31">
        <v>3</v>
      </c>
    </row>
    <row r="30" spans="1:33" x14ac:dyDescent="0.45">
      <c r="A30" s="40" t="s">
        <v>150</v>
      </c>
      <c r="B30" s="36">
        <v>61.3</v>
      </c>
      <c r="C30" s="35">
        <v>200</v>
      </c>
      <c r="D30" s="36">
        <v>200</v>
      </c>
      <c r="E30" s="36">
        <v>9</v>
      </c>
      <c r="F30" s="36">
        <v>15</v>
      </c>
      <c r="G30" s="36">
        <v>18</v>
      </c>
      <c r="H30" s="35">
        <v>7809.9999999999991</v>
      </c>
      <c r="I30" s="35">
        <v>170</v>
      </c>
      <c r="J30" s="36">
        <v>134</v>
      </c>
      <c r="K30" s="37" t="s">
        <v>108</v>
      </c>
      <c r="L30" s="36">
        <v>100</v>
      </c>
      <c r="M30" s="36">
        <v>100</v>
      </c>
      <c r="N30" s="35">
        <v>1.151</v>
      </c>
      <c r="O30" s="36">
        <v>18.78</v>
      </c>
      <c r="P30" s="35">
        <v>56960000</v>
      </c>
      <c r="Q30" s="36">
        <v>569600</v>
      </c>
      <c r="R30" s="36">
        <v>642500</v>
      </c>
      <c r="S30" s="72">
        <v>85.399999999999991</v>
      </c>
      <c r="T30" s="73">
        <v>2483</v>
      </c>
      <c r="U30" s="35">
        <v>20030000</v>
      </c>
      <c r="V30" s="36">
        <v>200300</v>
      </c>
      <c r="W30" s="36">
        <v>305800</v>
      </c>
      <c r="X30" s="36">
        <v>50.7</v>
      </c>
      <c r="Y30" s="35">
        <v>60.09</v>
      </c>
      <c r="Z30" s="36">
        <v>592800</v>
      </c>
      <c r="AA30" s="36">
        <v>171100000000</v>
      </c>
      <c r="AB30" s="35">
        <v>1</v>
      </c>
      <c r="AC30" s="36">
        <v>1</v>
      </c>
      <c r="AD30" s="36">
        <v>1</v>
      </c>
      <c r="AE30" s="35">
        <v>1</v>
      </c>
      <c r="AF30" s="36">
        <v>1</v>
      </c>
      <c r="AG30" s="36">
        <v>1</v>
      </c>
    </row>
    <row r="31" spans="1:33" x14ac:dyDescent="0.45">
      <c r="A31" s="43" t="s">
        <v>151</v>
      </c>
      <c r="B31" s="31">
        <v>81.900000000000006</v>
      </c>
      <c r="C31" s="30">
        <v>210</v>
      </c>
      <c r="D31" s="31">
        <v>203</v>
      </c>
      <c r="E31" s="31">
        <v>12</v>
      </c>
      <c r="F31" s="31">
        <v>20</v>
      </c>
      <c r="G31" s="31">
        <v>18</v>
      </c>
      <c r="H31" s="30">
        <v>10440</v>
      </c>
      <c r="I31" s="30">
        <v>170</v>
      </c>
      <c r="J31" s="31">
        <v>134</v>
      </c>
      <c r="K31" s="32" t="s">
        <v>110</v>
      </c>
      <c r="L31" s="31">
        <v>104</v>
      </c>
      <c r="M31" s="31">
        <v>104</v>
      </c>
      <c r="N31" s="30">
        <v>1.177</v>
      </c>
      <c r="O31" s="31">
        <v>14.36</v>
      </c>
      <c r="P31" s="30">
        <v>80290000</v>
      </c>
      <c r="Q31" s="31">
        <v>764700</v>
      </c>
      <c r="R31" s="31">
        <v>880600</v>
      </c>
      <c r="S31" s="70">
        <v>87.699999999999989</v>
      </c>
      <c r="T31" s="71">
        <v>3278</v>
      </c>
      <c r="U31" s="30">
        <v>27940000</v>
      </c>
      <c r="V31" s="31">
        <v>275300</v>
      </c>
      <c r="W31" s="31">
        <v>421000</v>
      </c>
      <c r="X31" s="31">
        <v>51.7</v>
      </c>
      <c r="Y31" s="30">
        <v>73.09</v>
      </c>
      <c r="Z31" s="31">
        <v>1351000</v>
      </c>
      <c r="AA31" s="31">
        <v>251700000000</v>
      </c>
      <c r="AB31" s="30">
        <v>1</v>
      </c>
      <c r="AC31" s="31">
        <v>1</v>
      </c>
      <c r="AD31" s="32" t="s">
        <v>43</v>
      </c>
      <c r="AE31" s="30">
        <v>1</v>
      </c>
      <c r="AF31" s="31">
        <v>1</v>
      </c>
      <c r="AG31" s="32" t="s">
        <v>43</v>
      </c>
    </row>
    <row r="32" spans="1:33" x14ac:dyDescent="0.45">
      <c r="A32" s="75" t="s">
        <v>152</v>
      </c>
      <c r="B32" s="76">
        <v>103</v>
      </c>
      <c r="C32" s="77">
        <v>220</v>
      </c>
      <c r="D32" s="76">
        <v>206</v>
      </c>
      <c r="E32" s="76">
        <v>15</v>
      </c>
      <c r="F32" s="76">
        <v>25</v>
      </c>
      <c r="G32" s="76">
        <v>18</v>
      </c>
      <c r="H32" s="77">
        <v>13130.000000000002</v>
      </c>
      <c r="I32" s="77">
        <v>170</v>
      </c>
      <c r="J32" s="76">
        <v>134</v>
      </c>
      <c r="K32" s="78" t="s">
        <v>108</v>
      </c>
      <c r="L32" s="76">
        <v>106</v>
      </c>
      <c r="M32" s="76">
        <v>106</v>
      </c>
      <c r="N32" s="77">
        <v>1.2030000000000001</v>
      </c>
      <c r="O32" s="76">
        <v>11.67</v>
      </c>
      <c r="P32" s="77">
        <v>106400000</v>
      </c>
      <c r="Q32" s="76">
        <v>967400</v>
      </c>
      <c r="R32" s="76">
        <v>1135000</v>
      </c>
      <c r="S32" s="79">
        <v>90</v>
      </c>
      <c r="T32" s="80">
        <v>4103</v>
      </c>
      <c r="U32" s="77">
        <v>36510000</v>
      </c>
      <c r="V32" s="76">
        <v>354500</v>
      </c>
      <c r="W32" s="76">
        <v>543200</v>
      </c>
      <c r="X32" s="76">
        <v>52.699999999999996</v>
      </c>
      <c r="Y32" s="77">
        <v>86.09</v>
      </c>
      <c r="Z32" s="76">
        <v>2594000</v>
      </c>
      <c r="AA32" s="76">
        <v>346300000000</v>
      </c>
      <c r="AB32" s="77">
        <v>1</v>
      </c>
      <c r="AC32" s="76">
        <v>1</v>
      </c>
      <c r="AD32" s="76">
        <v>1</v>
      </c>
      <c r="AE32" s="77">
        <v>1</v>
      </c>
      <c r="AF32" s="76">
        <v>1</v>
      </c>
      <c r="AG32" s="76">
        <v>1</v>
      </c>
    </row>
    <row r="33" spans="1:33" x14ac:dyDescent="0.45">
      <c r="A33" s="29" t="s">
        <v>153</v>
      </c>
      <c r="B33" s="27">
        <v>40.4</v>
      </c>
      <c r="C33" s="26">
        <v>205</v>
      </c>
      <c r="D33" s="27">
        <v>220</v>
      </c>
      <c r="E33" s="27">
        <v>6</v>
      </c>
      <c r="F33" s="27">
        <v>8.5</v>
      </c>
      <c r="G33" s="27">
        <v>18</v>
      </c>
      <c r="H33" s="26">
        <v>5150</v>
      </c>
      <c r="I33" s="26">
        <v>188</v>
      </c>
      <c r="J33" s="27">
        <v>152</v>
      </c>
      <c r="K33" s="28" t="s">
        <v>108</v>
      </c>
      <c r="L33" s="27">
        <v>98</v>
      </c>
      <c r="M33" s="27">
        <v>118</v>
      </c>
      <c r="N33" s="26">
        <v>1.2470000000000001</v>
      </c>
      <c r="O33" s="27">
        <v>30.87</v>
      </c>
      <c r="P33" s="26">
        <v>41700000</v>
      </c>
      <c r="Q33" s="27">
        <v>406900</v>
      </c>
      <c r="R33" s="27">
        <v>445500</v>
      </c>
      <c r="S33" s="81">
        <v>90</v>
      </c>
      <c r="T33" s="82">
        <v>1763</v>
      </c>
      <c r="U33" s="26">
        <v>15100000</v>
      </c>
      <c r="V33" s="27">
        <v>137300</v>
      </c>
      <c r="W33" s="27">
        <v>209300</v>
      </c>
      <c r="X33" s="27">
        <v>54.2</v>
      </c>
      <c r="Y33" s="26">
        <v>44.09</v>
      </c>
      <c r="Z33" s="27">
        <v>159300</v>
      </c>
      <c r="AA33" s="27">
        <v>145600000000</v>
      </c>
      <c r="AB33" s="26">
        <v>3</v>
      </c>
      <c r="AC33" s="27">
        <v>3</v>
      </c>
      <c r="AD33" s="27">
        <v>4</v>
      </c>
      <c r="AE33" s="26">
        <v>3</v>
      </c>
      <c r="AF33" s="27">
        <v>3</v>
      </c>
      <c r="AG33" s="27">
        <v>4</v>
      </c>
    </row>
    <row r="34" spans="1:33" x14ac:dyDescent="0.45">
      <c r="A34" s="33" t="s">
        <v>154</v>
      </c>
      <c r="B34" s="31">
        <v>50.5</v>
      </c>
      <c r="C34" s="30">
        <v>210</v>
      </c>
      <c r="D34" s="31">
        <v>220</v>
      </c>
      <c r="E34" s="31">
        <v>7</v>
      </c>
      <c r="F34" s="31">
        <v>11</v>
      </c>
      <c r="G34" s="31">
        <v>18</v>
      </c>
      <c r="H34" s="30">
        <v>6430</v>
      </c>
      <c r="I34" s="30">
        <v>188</v>
      </c>
      <c r="J34" s="31">
        <v>152</v>
      </c>
      <c r="K34" s="32" t="s">
        <v>110</v>
      </c>
      <c r="L34" s="31">
        <v>98</v>
      </c>
      <c r="M34" s="31">
        <v>118</v>
      </c>
      <c r="N34" s="30">
        <v>1.2549999999999999</v>
      </c>
      <c r="O34" s="31">
        <v>24.85</v>
      </c>
      <c r="P34" s="30">
        <v>54100000</v>
      </c>
      <c r="Q34" s="31">
        <v>515200.00000000006</v>
      </c>
      <c r="R34" s="31">
        <v>568500</v>
      </c>
      <c r="S34" s="83">
        <v>91.7</v>
      </c>
      <c r="T34" s="84">
        <v>2067</v>
      </c>
      <c r="U34" s="30">
        <v>19550000</v>
      </c>
      <c r="V34" s="31">
        <v>177700</v>
      </c>
      <c r="W34" s="31">
        <v>270600</v>
      </c>
      <c r="X34" s="31">
        <v>55.099999999999994</v>
      </c>
      <c r="Y34" s="30">
        <v>50.09</v>
      </c>
      <c r="Z34" s="31">
        <v>284600</v>
      </c>
      <c r="AA34" s="31">
        <v>193300000000</v>
      </c>
      <c r="AB34" s="30">
        <v>1</v>
      </c>
      <c r="AC34" s="31">
        <v>2</v>
      </c>
      <c r="AD34" s="31">
        <v>3</v>
      </c>
      <c r="AE34" s="30">
        <v>1</v>
      </c>
      <c r="AF34" s="31">
        <v>2</v>
      </c>
      <c r="AG34" s="31">
        <v>3</v>
      </c>
    </row>
    <row r="35" spans="1:33" x14ac:dyDescent="0.45">
      <c r="A35" s="40" t="s">
        <v>155</v>
      </c>
      <c r="B35" s="36">
        <v>71.5</v>
      </c>
      <c r="C35" s="35">
        <v>220</v>
      </c>
      <c r="D35" s="36">
        <v>220</v>
      </c>
      <c r="E35" s="36">
        <v>9.5</v>
      </c>
      <c r="F35" s="36">
        <v>16</v>
      </c>
      <c r="G35" s="36">
        <v>18</v>
      </c>
      <c r="H35" s="35">
        <v>9100</v>
      </c>
      <c r="I35" s="35">
        <v>188</v>
      </c>
      <c r="J35" s="36">
        <v>152</v>
      </c>
      <c r="K35" s="37" t="s">
        <v>108</v>
      </c>
      <c r="L35" s="36">
        <v>100</v>
      </c>
      <c r="M35" s="36">
        <v>118</v>
      </c>
      <c r="N35" s="35">
        <v>1.27</v>
      </c>
      <c r="O35" s="36">
        <v>17.77</v>
      </c>
      <c r="P35" s="35">
        <v>80910000</v>
      </c>
      <c r="Q35" s="36">
        <v>735500</v>
      </c>
      <c r="R35" s="36">
        <v>827000</v>
      </c>
      <c r="S35" s="85">
        <v>94.3</v>
      </c>
      <c r="T35" s="86">
        <v>2792</v>
      </c>
      <c r="U35" s="35">
        <v>28430000</v>
      </c>
      <c r="V35" s="36">
        <v>258500</v>
      </c>
      <c r="W35" s="36">
        <v>393900</v>
      </c>
      <c r="X35" s="36">
        <v>55.9</v>
      </c>
      <c r="Y35" s="35">
        <v>62.59</v>
      </c>
      <c r="Z35" s="36">
        <v>765699.99999999988</v>
      </c>
      <c r="AA35" s="36">
        <v>295400000000</v>
      </c>
      <c r="AB35" s="35">
        <v>1</v>
      </c>
      <c r="AC35" s="36">
        <v>1</v>
      </c>
      <c r="AD35" s="36">
        <v>1</v>
      </c>
      <c r="AE35" s="35">
        <v>1</v>
      </c>
      <c r="AF35" s="36">
        <v>1</v>
      </c>
      <c r="AG35" s="36">
        <v>1</v>
      </c>
    </row>
    <row r="36" spans="1:33" x14ac:dyDescent="0.45">
      <c r="A36" s="43" t="s">
        <v>156</v>
      </c>
      <c r="B36" s="31">
        <v>94.1</v>
      </c>
      <c r="C36" s="30">
        <v>230</v>
      </c>
      <c r="D36" s="31">
        <v>223</v>
      </c>
      <c r="E36" s="31">
        <v>12.5</v>
      </c>
      <c r="F36" s="31">
        <v>21</v>
      </c>
      <c r="G36" s="31">
        <v>18</v>
      </c>
      <c r="H36" s="30">
        <v>11990</v>
      </c>
      <c r="I36" s="30">
        <v>188</v>
      </c>
      <c r="J36" s="31">
        <v>152</v>
      </c>
      <c r="K36" s="32" t="s">
        <v>110</v>
      </c>
      <c r="L36" s="31">
        <v>104</v>
      </c>
      <c r="M36" s="31">
        <v>122</v>
      </c>
      <c r="N36" s="30">
        <v>1.296</v>
      </c>
      <c r="O36" s="31">
        <v>13.77</v>
      </c>
      <c r="P36" s="30">
        <v>111800000</v>
      </c>
      <c r="Q36" s="31">
        <v>972200</v>
      </c>
      <c r="R36" s="31">
        <v>1114000</v>
      </c>
      <c r="S36" s="83">
        <v>96.5</v>
      </c>
      <c r="T36" s="84">
        <v>3647</v>
      </c>
      <c r="U36" s="30">
        <v>38880000</v>
      </c>
      <c r="V36" s="31">
        <v>348700</v>
      </c>
      <c r="W36" s="31">
        <v>532400</v>
      </c>
      <c r="X36" s="31">
        <v>56.900000000000006</v>
      </c>
      <c r="Y36" s="30">
        <v>75.59</v>
      </c>
      <c r="Z36" s="31">
        <v>1682000</v>
      </c>
      <c r="AA36" s="31">
        <v>423900000000</v>
      </c>
      <c r="AB36" s="30">
        <v>1</v>
      </c>
      <c r="AC36" s="31">
        <v>1</v>
      </c>
      <c r="AD36" s="32" t="s">
        <v>43</v>
      </c>
      <c r="AE36" s="30">
        <v>1</v>
      </c>
      <c r="AF36" s="31">
        <v>1</v>
      </c>
      <c r="AG36" s="32" t="s">
        <v>43</v>
      </c>
    </row>
    <row r="37" spans="1:33" x14ac:dyDescent="0.45">
      <c r="A37" s="40" t="s">
        <v>157</v>
      </c>
      <c r="B37" s="36">
        <v>117</v>
      </c>
      <c r="C37" s="35">
        <v>240</v>
      </c>
      <c r="D37" s="36">
        <v>226</v>
      </c>
      <c r="E37" s="36">
        <v>15.5</v>
      </c>
      <c r="F37" s="36">
        <v>26</v>
      </c>
      <c r="G37" s="36">
        <v>18</v>
      </c>
      <c r="H37" s="35">
        <v>14940</v>
      </c>
      <c r="I37" s="35">
        <v>188</v>
      </c>
      <c r="J37" s="36">
        <v>152</v>
      </c>
      <c r="K37" s="37" t="s">
        <v>108</v>
      </c>
      <c r="L37" s="36">
        <v>108</v>
      </c>
      <c r="M37" s="36">
        <v>124</v>
      </c>
      <c r="N37" s="35">
        <v>1.3220000000000001</v>
      </c>
      <c r="O37" s="36">
        <v>11.27</v>
      </c>
      <c r="P37" s="35">
        <v>146000000</v>
      </c>
      <c r="Q37" s="36">
        <v>1217000</v>
      </c>
      <c r="R37" s="36">
        <v>1419000</v>
      </c>
      <c r="S37" s="85">
        <v>98.9</v>
      </c>
      <c r="T37" s="86">
        <v>4531</v>
      </c>
      <c r="U37" s="35">
        <v>50120000</v>
      </c>
      <c r="V37" s="36">
        <v>443500</v>
      </c>
      <c r="W37" s="36">
        <v>678600</v>
      </c>
      <c r="X37" s="36">
        <v>57.9</v>
      </c>
      <c r="Y37" s="35">
        <v>88.59</v>
      </c>
      <c r="Z37" s="36">
        <v>3153000</v>
      </c>
      <c r="AA37" s="36">
        <v>572700000000</v>
      </c>
      <c r="AB37" s="35">
        <v>1</v>
      </c>
      <c r="AC37" s="36">
        <v>1</v>
      </c>
      <c r="AD37" s="37" t="s">
        <v>34</v>
      </c>
      <c r="AE37" s="35">
        <v>1</v>
      </c>
      <c r="AF37" s="36">
        <v>1</v>
      </c>
      <c r="AG37" s="37" t="s">
        <v>34</v>
      </c>
    </row>
    <row r="38" spans="1:33" x14ac:dyDescent="0.45">
      <c r="A38" s="40" t="s">
        <v>158</v>
      </c>
      <c r="B38" s="36">
        <v>47.4</v>
      </c>
      <c r="C38" s="35">
        <v>224</v>
      </c>
      <c r="D38" s="36">
        <v>240</v>
      </c>
      <c r="E38" s="36">
        <v>6.5</v>
      </c>
      <c r="F38" s="36">
        <v>9</v>
      </c>
      <c r="G38" s="36">
        <v>21</v>
      </c>
      <c r="H38" s="35">
        <v>6040</v>
      </c>
      <c r="I38" s="35">
        <v>206</v>
      </c>
      <c r="J38" s="36">
        <v>164</v>
      </c>
      <c r="K38" s="37" t="s">
        <v>108</v>
      </c>
      <c r="L38" s="36">
        <v>104</v>
      </c>
      <c r="M38" s="36">
        <v>138</v>
      </c>
      <c r="N38" s="35">
        <v>1.359</v>
      </c>
      <c r="O38" s="36">
        <v>28.67</v>
      </c>
      <c r="P38" s="35">
        <v>58350000</v>
      </c>
      <c r="Q38" s="36">
        <v>521000</v>
      </c>
      <c r="R38" s="36">
        <v>570600</v>
      </c>
      <c r="S38" s="85">
        <v>98.3</v>
      </c>
      <c r="T38" s="86">
        <v>2154</v>
      </c>
      <c r="U38" s="35">
        <v>20770000</v>
      </c>
      <c r="V38" s="36">
        <v>173100</v>
      </c>
      <c r="W38" s="36">
        <v>264400</v>
      </c>
      <c r="X38" s="36">
        <v>58.7</v>
      </c>
      <c r="Y38" s="35">
        <v>49.1</v>
      </c>
      <c r="Z38" s="36">
        <v>229800</v>
      </c>
      <c r="AA38" s="36">
        <v>239600000000</v>
      </c>
      <c r="AB38" s="35">
        <v>3</v>
      </c>
      <c r="AC38" s="36">
        <v>3</v>
      </c>
      <c r="AD38" s="36">
        <v>4</v>
      </c>
      <c r="AE38" s="35">
        <v>3</v>
      </c>
      <c r="AF38" s="36">
        <v>3</v>
      </c>
      <c r="AG38" s="36">
        <v>4</v>
      </c>
    </row>
    <row r="39" spans="1:33" x14ac:dyDescent="0.45">
      <c r="A39" s="33" t="s">
        <v>159</v>
      </c>
      <c r="B39" s="31">
        <v>60.3</v>
      </c>
      <c r="C39" s="30">
        <v>230</v>
      </c>
      <c r="D39" s="31">
        <v>240</v>
      </c>
      <c r="E39" s="31">
        <v>7.5</v>
      </c>
      <c r="F39" s="31">
        <v>12</v>
      </c>
      <c r="G39" s="31">
        <v>21</v>
      </c>
      <c r="H39" s="30">
        <v>7680</v>
      </c>
      <c r="I39" s="30">
        <v>206</v>
      </c>
      <c r="J39" s="31">
        <v>164</v>
      </c>
      <c r="K39" s="32" t="s">
        <v>110</v>
      </c>
      <c r="L39" s="31">
        <v>104</v>
      </c>
      <c r="M39" s="31">
        <v>138</v>
      </c>
      <c r="N39" s="30">
        <v>1.369</v>
      </c>
      <c r="O39" s="31">
        <v>22.7</v>
      </c>
      <c r="P39" s="30">
        <v>77630000</v>
      </c>
      <c r="Q39" s="31">
        <v>675100</v>
      </c>
      <c r="R39" s="31">
        <v>744600</v>
      </c>
      <c r="S39" s="83">
        <v>100.5</v>
      </c>
      <c r="T39" s="84">
        <v>2518</v>
      </c>
      <c r="U39" s="30">
        <v>27690000</v>
      </c>
      <c r="V39" s="31">
        <v>230700</v>
      </c>
      <c r="W39" s="31">
        <v>351700</v>
      </c>
      <c r="X39" s="31">
        <v>60</v>
      </c>
      <c r="Y39" s="30">
        <v>56.1</v>
      </c>
      <c r="Z39" s="31">
        <v>415500</v>
      </c>
      <c r="AA39" s="31">
        <v>328500000000</v>
      </c>
      <c r="AB39" s="30">
        <v>1</v>
      </c>
      <c r="AC39" s="31">
        <v>2</v>
      </c>
      <c r="AD39" s="31">
        <v>3</v>
      </c>
      <c r="AE39" s="30">
        <v>1</v>
      </c>
      <c r="AF39" s="31">
        <v>2</v>
      </c>
      <c r="AG39" s="31">
        <v>3</v>
      </c>
    </row>
    <row r="40" spans="1:33" x14ac:dyDescent="0.45">
      <c r="A40" s="40" t="s">
        <v>160</v>
      </c>
      <c r="B40" s="36">
        <v>83.2</v>
      </c>
      <c r="C40" s="35">
        <v>240</v>
      </c>
      <c r="D40" s="36">
        <v>240</v>
      </c>
      <c r="E40" s="36">
        <v>10</v>
      </c>
      <c r="F40" s="36">
        <v>17</v>
      </c>
      <c r="G40" s="36">
        <v>21</v>
      </c>
      <c r="H40" s="35">
        <v>10600</v>
      </c>
      <c r="I40" s="35">
        <v>206</v>
      </c>
      <c r="J40" s="36">
        <v>164</v>
      </c>
      <c r="K40" s="37" t="s">
        <v>108</v>
      </c>
      <c r="L40" s="36">
        <v>108</v>
      </c>
      <c r="M40" s="36">
        <v>138</v>
      </c>
      <c r="N40" s="35">
        <v>1.3839999999999999</v>
      </c>
      <c r="O40" s="36">
        <v>16.63</v>
      </c>
      <c r="P40" s="35">
        <v>112600000</v>
      </c>
      <c r="Q40" s="36">
        <v>938300</v>
      </c>
      <c r="R40" s="36">
        <v>1053000</v>
      </c>
      <c r="S40" s="85">
        <v>103.10000000000001</v>
      </c>
      <c r="T40" s="86">
        <v>3322.9999999999995</v>
      </c>
      <c r="U40" s="35">
        <v>39230000</v>
      </c>
      <c r="V40" s="36">
        <v>326900</v>
      </c>
      <c r="W40" s="36">
        <v>498400</v>
      </c>
      <c r="X40" s="36">
        <v>60.8</v>
      </c>
      <c r="Y40" s="35">
        <v>68.599999999999994</v>
      </c>
      <c r="Z40" s="36">
        <v>1027000</v>
      </c>
      <c r="AA40" s="36">
        <v>486900000000</v>
      </c>
      <c r="AB40" s="35">
        <v>1</v>
      </c>
      <c r="AC40" s="36">
        <v>1</v>
      </c>
      <c r="AD40" s="36">
        <v>1</v>
      </c>
      <c r="AE40" s="35">
        <v>1</v>
      </c>
      <c r="AF40" s="36">
        <v>1</v>
      </c>
      <c r="AG40" s="36">
        <v>1</v>
      </c>
    </row>
    <row r="41" spans="1:33" x14ac:dyDescent="0.45">
      <c r="A41" s="43" t="s">
        <v>161</v>
      </c>
      <c r="B41" s="31">
        <v>119</v>
      </c>
      <c r="C41" s="30">
        <v>255</v>
      </c>
      <c r="D41" s="31">
        <v>244</v>
      </c>
      <c r="E41" s="31">
        <v>14</v>
      </c>
      <c r="F41" s="31">
        <v>24.5</v>
      </c>
      <c r="G41" s="31">
        <v>21</v>
      </c>
      <c r="H41" s="30">
        <v>15219.999999999998</v>
      </c>
      <c r="I41" s="30">
        <v>206</v>
      </c>
      <c r="J41" s="31">
        <v>164</v>
      </c>
      <c r="K41" s="32" t="s">
        <v>110</v>
      </c>
      <c r="L41" s="31">
        <v>112</v>
      </c>
      <c r="M41" s="31">
        <v>142</v>
      </c>
      <c r="N41" s="30">
        <v>1.4219999999999999</v>
      </c>
      <c r="O41" s="31">
        <v>11.9</v>
      </c>
      <c r="P41" s="30">
        <v>173300000</v>
      </c>
      <c r="Q41" s="31">
        <v>1359000</v>
      </c>
      <c r="R41" s="31">
        <v>1564000</v>
      </c>
      <c r="S41" s="83">
        <v>106.7</v>
      </c>
      <c r="T41" s="84">
        <v>4635</v>
      </c>
      <c r="U41" s="30">
        <v>59420000</v>
      </c>
      <c r="V41" s="31">
        <v>487100</v>
      </c>
      <c r="W41" s="31">
        <v>743800</v>
      </c>
      <c r="X41" s="31">
        <v>62.5</v>
      </c>
      <c r="Y41" s="30">
        <v>87.6</v>
      </c>
      <c r="Z41" s="31">
        <v>2887000</v>
      </c>
      <c r="AA41" s="31">
        <v>787900000000</v>
      </c>
      <c r="AB41" s="30">
        <v>1</v>
      </c>
      <c r="AC41" s="31">
        <v>1</v>
      </c>
      <c r="AD41" s="32" t="s">
        <v>43</v>
      </c>
      <c r="AE41" s="30">
        <v>1</v>
      </c>
      <c r="AF41" s="31">
        <v>1</v>
      </c>
      <c r="AG41" s="32" t="s">
        <v>43</v>
      </c>
    </row>
    <row r="42" spans="1:33" x14ac:dyDescent="0.45">
      <c r="A42" s="40" t="s">
        <v>162</v>
      </c>
      <c r="B42" s="36">
        <v>157</v>
      </c>
      <c r="C42" s="35">
        <v>270</v>
      </c>
      <c r="D42" s="36">
        <v>248</v>
      </c>
      <c r="E42" s="36">
        <v>18</v>
      </c>
      <c r="F42" s="36">
        <v>32</v>
      </c>
      <c r="G42" s="36">
        <v>21</v>
      </c>
      <c r="H42" s="35">
        <v>19960</v>
      </c>
      <c r="I42" s="35">
        <v>206</v>
      </c>
      <c r="J42" s="36">
        <v>164</v>
      </c>
      <c r="K42" s="37" t="s">
        <v>108</v>
      </c>
      <c r="L42" s="36">
        <v>116</v>
      </c>
      <c r="M42" s="36">
        <v>146</v>
      </c>
      <c r="N42" s="35">
        <v>1.46</v>
      </c>
      <c r="O42" s="36">
        <v>9.3179999999999996</v>
      </c>
      <c r="P42" s="35">
        <v>242900000</v>
      </c>
      <c r="Q42" s="36">
        <v>1799000</v>
      </c>
      <c r="R42" s="36">
        <v>2117000</v>
      </c>
      <c r="S42" s="85">
        <v>110.3</v>
      </c>
      <c r="T42" s="86">
        <v>6007</v>
      </c>
      <c r="U42" s="35">
        <v>81530000</v>
      </c>
      <c r="V42" s="36">
        <v>657500</v>
      </c>
      <c r="W42" s="36">
        <v>1006000</v>
      </c>
      <c r="X42" s="36">
        <v>63.9</v>
      </c>
      <c r="Y42" s="35">
        <v>106.6</v>
      </c>
      <c r="Z42" s="36">
        <v>6279000</v>
      </c>
      <c r="AA42" s="36">
        <v>1152000000000</v>
      </c>
      <c r="AB42" s="35">
        <v>1</v>
      </c>
      <c r="AC42" s="36">
        <v>1</v>
      </c>
      <c r="AD42" s="37" t="s">
        <v>34</v>
      </c>
      <c r="AE42" s="35">
        <v>1</v>
      </c>
      <c r="AF42" s="36">
        <v>1</v>
      </c>
      <c r="AG42" s="37" t="s">
        <v>34</v>
      </c>
    </row>
    <row r="43" spans="1:33" x14ac:dyDescent="0.45">
      <c r="A43" s="40" t="s">
        <v>163</v>
      </c>
      <c r="B43" s="36">
        <v>54.1</v>
      </c>
      <c r="C43" s="35">
        <v>244</v>
      </c>
      <c r="D43" s="36">
        <v>260</v>
      </c>
      <c r="E43" s="36">
        <v>6.5</v>
      </c>
      <c r="F43" s="36">
        <v>9.5</v>
      </c>
      <c r="G43" s="36">
        <v>24</v>
      </c>
      <c r="H43" s="35">
        <v>6900</v>
      </c>
      <c r="I43" s="35">
        <v>225</v>
      </c>
      <c r="J43" s="36">
        <v>177</v>
      </c>
      <c r="K43" s="37" t="s">
        <v>108</v>
      </c>
      <c r="L43" s="36">
        <v>110</v>
      </c>
      <c r="M43" s="36">
        <v>158</v>
      </c>
      <c r="N43" s="35">
        <v>1.474</v>
      </c>
      <c r="O43" s="36">
        <v>27.22</v>
      </c>
      <c r="P43" s="35">
        <v>79810000</v>
      </c>
      <c r="Q43" s="36">
        <v>654100</v>
      </c>
      <c r="R43" s="36">
        <v>714500</v>
      </c>
      <c r="S43" s="85">
        <v>107.6</v>
      </c>
      <c r="T43" s="86">
        <v>2475</v>
      </c>
      <c r="U43" s="35">
        <v>27880000</v>
      </c>
      <c r="V43" s="36">
        <v>214500</v>
      </c>
      <c r="W43" s="36">
        <v>327700</v>
      </c>
      <c r="X43" s="36">
        <v>63.6</v>
      </c>
      <c r="Y43" s="35">
        <v>53.62</v>
      </c>
      <c r="Z43" s="36">
        <v>303100</v>
      </c>
      <c r="AA43" s="36">
        <v>382600000000</v>
      </c>
      <c r="AB43" s="35">
        <v>3</v>
      </c>
      <c r="AC43" s="36">
        <v>3</v>
      </c>
      <c r="AD43" s="36">
        <v>4</v>
      </c>
      <c r="AE43" s="35">
        <v>3</v>
      </c>
      <c r="AF43" s="36">
        <v>3</v>
      </c>
      <c r="AG43" s="36">
        <v>4</v>
      </c>
    </row>
    <row r="44" spans="1:33" x14ac:dyDescent="0.45">
      <c r="A44" s="33" t="s">
        <v>164</v>
      </c>
      <c r="B44" s="31">
        <v>68.2</v>
      </c>
      <c r="C44" s="30">
        <v>250</v>
      </c>
      <c r="D44" s="31">
        <v>260</v>
      </c>
      <c r="E44" s="31">
        <v>7.5</v>
      </c>
      <c r="F44" s="31">
        <v>12.5</v>
      </c>
      <c r="G44" s="31">
        <v>24</v>
      </c>
      <c r="H44" s="30">
        <v>8680</v>
      </c>
      <c r="I44" s="30">
        <v>225</v>
      </c>
      <c r="J44" s="31">
        <v>177</v>
      </c>
      <c r="K44" s="32" t="s">
        <v>110</v>
      </c>
      <c r="L44" s="31">
        <v>110</v>
      </c>
      <c r="M44" s="31">
        <v>158</v>
      </c>
      <c r="N44" s="30">
        <v>1.484</v>
      </c>
      <c r="O44" s="31">
        <v>21.77</v>
      </c>
      <c r="P44" s="30">
        <v>104500000</v>
      </c>
      <c r="Q44" s="31">
        <v>836400</v>
      </c>
      <c r="R44" s="31">
        <v>919800</v>
      </c>
      <c r="S44" s="83">
        <v>109.7</v>
      </c>
      <c r="T44" s="84">
        <v>2876</v>
      </c>
      <c r="U44" s="30">
        <v>36680000</v>
      </c>
      <c r="V44" s="31">
        <v>282100</v>
      </c>
      <c r="W44" s="31">
        <v>430200</v>
      </c>
      <c r="X44" s="31">
        <v>65</v>
      </c>
      <c r="Y44" s="30">
        <v>60.62</v>
      </c>
      <c r="Z44" s="31">
        <v>523700</v>
      </c>
      <c r="AA44" s="31">
        <v>516400000000</v>
      </c>
      <c r="AB44" s="30">
        <v>1</v>
      </c>
      <c r="AC44" s="31">
        <v>3</v>
      </c>
      <c r="AD44" s="31">
        <v>3</v>
      </c>
      <c r="AE44" s="30">
        <v>1</v>
      </c>
      <c r="AF44" s="31">
        <v>3</v>
      </c>
      <c r="AG44" s="31">
        <v>3</v>
      </c>
    </row>
    <row r="45" spans="1:33" x14ac:dyDescent="0.45">
      <c r="A45" s="40" t="s">
        <v>165</v>
      </c>
      <c r="B45" s="36">
        <v>93</v>
      </c>
      <c r="C45" s="35">
        <v>260</v>
      </c>
      <c r="D45" s="36">
        <v>260</v>
      </c>
      <c r="E45" s="36">
        <v>10</v>
      </c>
      <c r="F45" s="36">
        <v>17.5</v>
      </c>
      <c r="G45" s="36">
        <v>24</v>
      </c>
      <c r="H45" s="35">
        <v>11840</v>
      </c>
      <c r="I45" s="35">
        <v>225</v>
      </c>
      <c r="J45" s="36">
        <v>177</v>
      </c>
      <c r="K45" s="37" t="s">
        <v>108</v>
      </c>
      <c r="L45" s="36">
        <v>114</v>
      </c>
      <c r="M45" s="36">
        <v>158</v>
      </c>
      <c r="N45" s="35">
        <v>1.4990000000000001</v>
      </c>
      <c r="O45" s="36">
        <v>16.12</v>
      </c>
      <c r="P45" s="35">
        <v>149200000</v>
      </c>
      <c r="Q45" s="36">
        <v>1148000</v>
      </c>
      <c r="R45" s="36">
        <v>1283000</v>
      </c>
      <c r="S45" s="85">
        <v>112.2</v>
      </c>
      <c r="T45" s="86">
        <v>3759.0000000000005</v>
      </c>
      <c r="U45" s="35">
        <v>51350000</v>
      </c>
      <c r="V45" s="36">
        <v>395000</v>
      </c>
      <c r="W45" s="36">
        <v>602200</v>
      </c>
      <c r="X45" s="36">
        <v>65.8</v>
      </c>
      <c r="Y45" s="35">
        <v>73.12</v>
      </c>
      <c r="Z45" s="36">
        <v>1238000</v>
      </c>
      <c r="AA45" s="36">
        <v>753700000000</v>
      </c>
      <c r="AB45" s="35">
        <v>1</v>
      </c>
      <c r="AC45" s="36">
        <v>1</v>
      </c>
      <c r="AD45" s="36">
        <v>1</v>
      </c>
      <c r="AE45" s="35">
        <v>1</v>
      </c>
      <c r="AF45" s="36">
        <v>1</v>
      </c>
      <c r="AG45" s="36">
        <v>1</v>
      </c>
    </row>
    <row r="46" spans="1:33" x14ac:dyDescent="0.45">
      <c r="A46" s="43" t="s">
        <v>166</v>
      </c>
      <c r="B46" s="31">
        <v>132</v>
      </c>
      <c r="C46" s="30">
        <v>275</v>
      </c>
      <c r="D46" s="31">
        <v>264</v>
      </c>
      <c r="E46" s="31">
        <v>14</v>
      </c>
      <c r="F46" s="31">
        <v>25</v>
      </c>
      <c r="G46" s="31">
        <v>24</v>
      </c>
      <c r="H46" s="30">
        <v>16840</v>
      </c>
      <c r="I46" s="30">
        <v>225</v>
      </c>
      <c r="J46" s="31">
        <v>177</v>
      </c>
      <c r="K46" s="32" t="s">
        <v>110</v>
      </c>
      <c r="L46" s="31">
        <v>118</v>
      </c>
      <c r="M46" s="31">
        <v>162</v>
      </c>
      <c r="N46" s="30">
        <v>1.5369999999999999</v>
      </c>
      <c r="O46" s="31">
        <v>11.63</v>
      </c>
      <c r="P46" s="30">
        <v>225900000</v>
      </c>
      <c r="Q46" s="31">
        <v>1643000</v>
      </c>
      <c r="R46" s="31">
        <v>1880000</v>
      </c>
      <c r="S46" s="83">
        <v>115.8</v>
      </c>
      <c r="T46" s="84">
        <v>5194</v>
      </c>
      <c r="U46" s="30">
        <v>76800000</v>
      </c>
      <c r="V46" s="31">
        <v>581800</v>
      </c>
      <c r="W46" s="31">
        <v>888300</v>
      </c>
      <c r="X46" s="31">
        <v>67.5</v>
      </c>
      <c r="Y46" s="30">
        <v>92.12</v>
      </c>
      <c r="Z46" s="31">
        <v>3364000</v>
      </c>
      <c r="AA46" s="31">
        <v>1198000000000</v>
      </c>
      <c r="AB46" s="30">
        <v>1</v>
      </c>
      <c r="AC46" s="31">
        <v>1</v>
      </c>
      <c r="AD46" s="32" t="s">
        <v>43</v>
      </c>
      <c r="AE46" s="30">
        <v>1</v>
      </c>
      <c r="AF46" s="31">
        <v>1</v>
      </c>
      <c r="AG46" s="32" t="s">
        <v>43</v>
      </c>
    </row>
    <row r="47" spans="1:33" x14ac:dyDescent="0.45">
      <c r="A47" s="40" t="s">
        <v>167</v>
      </c>
      <c r="B47" s="36">
        <v>172</v>
      </c>
      <c r="C47" s="35">
        <v>290</v>
      </c>
      <c r="D47" s="36">
        <v>268</v>
      </c>
      <c r="E47" s="36">
        <v>18</v>
      </c>
      <c r="F47" s="36">
        <v>32.5</v>
      </c>
      <c r="G47" s="36">
        <v>24</v>
      </c>
      <c r="H47" s="35">
        <v>21960</v>
      </c>
      <c r="I47" s="35">
        <v>225</v>
      </c>
      <c r="J47" s="36">
        <v>177</v>
      </c>
      <c r="K47" s="37" t="s">
        <v>108</v>
      </c>
      <c r="L47" s="36">
        <v>122</v>
      </c>
      <c r="M47" s="36">
        <v>166</v>
      </c>
      <c r="N47" s="35">
        <v>1.575</v>
      </c>
      <c r="O47" s="36">
        <v>9.1329999999999991</v>
      </c>
      <c r="P47" s="35">
        <v>313100000</v>
      </c>
      <c r="Q47" s="36">
        <v>2159000</v>
      </c>
      <c r="R47" s="36">
        <v>2524000</v>
      </c>
      <c r="S47" s="85">
        <v>119.39999999999999</v>
      </c>
      <c r="T47" s="86">
        <v>6689</v>
      </c>
      <c r="U47" s="35">
        <v>104500000</v>
      </c>
      <c r="V47" s="36">
        <v>779700</v>
      </c>
      <c r="W47" s="36">
        <v>1192000</v>
      </c>
      <c r="X47" s="36">
        <v>69</v>
      </c>
      <c r="Y47" s="35">
        <v>111.1</v>
      </c>
      <c r="Z47" s="36">
        <v>7190000</v>
      </c>
      <c r="AA47" s="36">
        <v>1728000000000</v>
      </c>
      <c r="AB47" s="35">
        <v>1</v>
      </c>
      <c r="AC47" s="36">
        <v>1</v>
      </c>
      <c r="AD47" s="36">
        <v>1</v>
      </c>
      <c r="AE47" s="35">
        <v>1</v>
      </c>
      <c r="AF47" s="36">
        <v>1</v>
      </c>
      <c r="AG47" s="36">
        <v>1</v>
      </c>
    </row>
    <row r="48" spans="1:33" x14ac:dyDescent="0.45">
      <c r="A48" s="40" t="s">
        <v>168</v>
      </c>
      <c r="B48" s="36">
        <v>61.2</v>
      </c>
      <c r="C48" s="35">
        <v>264</v>
      </c>
      <c r="D48" s="36">
        <v>280</v>
      </c>
      <c r="E48" s="36">
        <v>7</v>
      </c>
      <c r="F48" s="36">
        <v>10</v>
      </c>
      <c r="G48" s="36">
        <v>24</v>
      </c>
      <c r="H48" s="35">
        <v>7800</v>
      </c>
      <c r="I48" s="35">
        <v>244</v>
      </c>
      <c r="J48" s="36">
        <v>196</v>
      </c>
      <c r="K48" s="37" t="s">
        <v>108</v>
      </c>
      <c r="L48" s="36">
        <v>110</v>
      </c>
      <c r="M48" s="36">
        <v>178</v>
      </c>
      <c r="N48" s="35">
        <v>1.593</v>
      </c>
      <c r="O48" s="36">
        <v>26.01</v>
      </c>
      <c r="P48" s="35">
        <v>105600000</v>
      </c>
      <c r="Q48" s="36">
        <v>799800</v>
      </c>
      <c r="R48" s="36">
        <v>873100</v>
      </c>
      <c r="S48" s="85">
        <v>116.30000000000001</v>
      </c>
      <c r="T48" s="86">
        <v>2752</v>
      </c>
      <c r="U48" s="35">
        <v>36640000</v>
      </c>
      <c r="V48" s="36">
        <v>261700</v>
      </c>
      <c r="W48" s="36">
        <v>399400</v>
      </c>
      <c r="X48" s="36">
        <v>68.5</v>
      </c>
      <c r="Y48" s="35">
        <v>55.12</v>
      </c>
      <c r="Z48" s="36">
        <v>362200</v>
      </c>
      <c r="AA48" s="36">
        <v>590100000000</v>
      </c>
      <c r="AB48" s="35">
        <v>3</v>
      </c>
      <c r="AC48" s="36">
        <v>3</v>
      </c>
      <c r="AD48" s="36">
        <v>4</v>
      </c>
      <c r="AE48" s="35">
        <v>3</v>
      </c>
      <c r="AF48" s="36">
        <v>3</v>
      </c>
      <c r="AG48" s="36">
        <v>4</v>
      </c>
    </row>
    <row r="49" spans="1:33" x14ac:dyDescent="0.45">
      <c r="A49" s="33" t="s">
        <v>169</v>
      </c>
      <c r="B49" s="31">
        <v>76.400000000000006</v>
      </c>
      <c r="C49" s="30">
        <v>270</v>
      </c>
      <c r="D49" s="31">
        <v>280</v>
      </c>
      <c r="E49" s="31">
        <v>8</v>
      </c>
      <c r="F49" s="31">
        <v>13</v>
      </c>
      <c r="G49" s="31">
        <v>24</v>
      </c>
      <c r="H49" s="30">
        <v>9730</v>
      </c>
      <c r="I49" s="30">
        <v>244</v>
      </c>
      <c r="J49" s="31">
        <v>196</v>
      </c>
      <c r="K49" s="32" t="s">
        <v>110</v>
      </c>
      <c r="L49" s="31">
        <v>112</v>
      </c>
      <c r="M49" s="31">
        <v>178</v>
      </c>
      <c r="N49" s="30">
        <v>1.603</v>
      </c>
      <c r="O49" s="31">
        <v>20.99</v>
      </c>
      <c r="P49" s="30">
        <v>136700000</v>
      </c>
      <c r="Q49" s="31">
        <v>1013000</v>
      </c>
      <c r="R49" s="31">
        <v>1112000</v>
      </c>
      <c r="S49" s="83">
        <v>118.6</v>
      </c>
      <c r="T49" s="84">
        <v>3174</v>
      </c>
      <c r="U49" s="30">
        <v>47630000</v>
      </c>
      <c r="V49" s="31">
        <v>340200</v>
      </c>
      <c r="W49" s="31">
        <v>518100</v>
      </c>
      <c r="X49" s="31">
        <v>70</v>
      </c>
      <c r="Y49" s="30">
        <v>62.12</v>
      </c>
      <c r="Z49" s="31">
        <v>621000</v>
      </c>
      <c r="AA49" s="31">
        <v>785400000000</v>
      </c>
      <c r="AB49" s="30">
        <v>1</v>
      </c>
      <c r="AC49" s="31">
        <v>3</v>
      </c>
      <c r="AD49" s="31">
        <v>3</v>
      </c>
      <c r="AE49" s="30">
        <v>1</v>
      </c>
      <c r="AF49" s="31">
        <v>3</v>
      </c>
      <c r="AG49" s="31">
        <v>3</v>
      </c>
    </row>
    <row r="50" spans="1:33" x14ac:dyDescent="0.45">
      <c r="A50" s="40" t="s">
        <v>170</v>
      </c>
      <c r="B50" s="36">
        <v>103</v>
      </c>
      <c r="C50" s="35">
        <v>280</v>
      </c>
      <c r="D50" s="36">
        <v>280</v>
      </c>
      <c r="E50" s="36">
        <v>10.5</v>
      </c>
      <c r="F50" s="36">
        <v>18</v>
      </c>
      <c r="G50" s="36">
        <v>24</v>
      </c>
      <c r="H50" s="35">
        <v>13140</v>
      </c>
      <c r="I50" s="35">
        <v>244</v>
      </c>
      <c r="J50" s="36">
        <v>196</v>
      </c>
      <c r="K50" s="37" t="s">
        <v>108</v>
      </c>
      <c r="L50" s="36">
        <v>114</v>
      </c>
      <c r="M50" s="36">
        <v>178</v>
      </c>
      <c r="N50" s="35">
        <v>1.6180000000000001</v>
      </c>
      <c r="O50" s="36">
        <v>15.69</v>
      </c>
      <c r="P50" s="35">
        <v>192700000</v>
      </c>
      <c r="Q50" s="36">
        <v>1376000</v>
      </c>
      <c r="R50" s="36">
        <v>1534000</v>
      </c>
      <c r="S50" s="85">
        <v>121.1</v>
      </c>
      <c r="T50" s="86">
        <v>4109</v>
      </c>
      <c r="U50" s="35">
        <v>65950000</v>
      </c>
      <c r="V50" s="36">
        <v>471000</v>
      </c>
      <c r="W50" s="36">
        <v>717600</v>
      </c>
      <c r="X50" s="36">
        <v>70.900000000000006</v>
      </c>
      <c r="Y50" s="35">
        <v>74.62</v>
      </c>
      <c r="Z50" s="36">
        <v>1437000</v>
      </c>
      <c r="AA50" s="36">
        <v>1130000000000</v>
      </c>
      <c r="AB50" s="35">
        <v>1</v>
      </c>
      <c r="AC50" s="36">
        <v>1</v>
      </c>
      <c r="AD50" s="36">
        <v>1</v>
      </c>
      <c r="AE50" s="35">
        <v>1</v>
      </c>
      <c r="AF50" s="36">
        <v>1</v>
      </c>
      <c r="AG50" s="36">
        <v>1</v>
      </c>
    </row>
    <row r="51" spans="1:33" x14ac:dyDescent="0.45">
      <c r="A51" s="43" t="s">
        <v>171</v>
      </c>
      <c r="B51" s="31">
        <v>145</v>
      </c>
      <c r="C51" s="30">
        <v>295</v>
      </c>
      <c r="D51" s="31">
        <v>284</v>
      </c>
      <c r="E51" s="31">
        <v>14.5</v>
      </c>
      <c r="F51" s="31">
        <v>25.5</v>
      </c>
      <c r="G51" s="31">
        <v>24</v>
      </c>
      <c r="H51" s="30">
        <v>18520</v>
      </c>
      <c r="I51" s="30">
        <v>244</v>
      </c>
      <c r="J51" s="31">
        <v>196</v>
      </c>
      <c r="K51" s="32" t="s">
        <v>110</v>
      </c>
      <c r="L51" s="31">
        <v>118</v>
      </c>
      <c r="M51" s="31">
        <v>182</v>
      </c>
      <c r="N51" s="30">
        <v>1.6559999999999999</v>
      </c>
      <c r="O51" s="31">
        <v>11.39</v>
      </c>
      <c r="P51" s="30">
        <v>288100000</v>
      </c>
      <c r="Q51" s="31">
        <v>1953000</v>
      </c>
      <c r="R51" s="31">
        <v>2225000</v>
      </c>
      <c r="S51" s="83">
        <v>124.7</v>
      </c>
      <c r="T51" s="84">
        <v>5626</v>
      </c>
      <c r="U51" s="30">
        <v>97500000</v>
      </c>
      <c r="V51" s="31">
        <v>686600</v>
      </c>
      <c r="W51" s="31">
        <v>1047000</v>
      </c>
      <c r="X51" s="31">
        <v>72.599999999999994</v>
      </c>
      <c r="Y51" s="30">
        <v>93.62</v>
      </c>
      <c r="Z51" s="31">
        <v>3825000</v>
      </c>
      <c r="AA51" s="31">
        <v>1768000000000</v>
      </c>
      <c r="AB51" s="30">
        <v>1</v>
      </c>
      <c r="AC51" s="31">
        <v>1</v>
      </c>
      <c r="AD51" s="32" t="s">
        <v>43</v>
      </c>
      <c r="AE51" s="30">
        <v>1</v>
      </c>
      <c r="AF51" s="31">
        <v>1</v>
      </c>
      <c r="AG51" s="32" t="s">
        <v>43</v>
      </c>
    </row>
    <row r="52" spans="1:33" x14ac:dyDescent="0.45">
      <c r="A52" s="40" t="s">
        <v>172</v>
      </c>
      <c r="B52" s="36">
        <v>189</v>
      </c>
      <c r="C52" s="35">
        <v>310</v>
      </c>
      <c r="D52" s="36">
        <v>288</v>
      </c>
      <c r="E52" s="36">
        <v>18.5</v>
      </c>
      <c r="F52" s="36">
        <v>33</v>
      </c>
      <c r="G52" s="36">
        <v>24</v>
      </c>
      <c r="H52" s="35">
        <v>24020</v>
      </c>
      <c r="I52" s="35">
        <v>244</v>
      </c>
      <c r="J52" s="36">
        <v>196</v>
      </c>
      <c r="K52" s="37" t="s">
        <v>108</v>
      </c>
      <c r="L52" s="36">
        <v>122</v>
      </c>
      <c r="M52" s="36">
        <v>186</v>
      </c>
      <c r="N52" s="35">
        <v>1.694</v>
      </c>
      <c r="O52" s="36">
        <v>8.984</v>
      </c>
      <c r="P52" s="35">
        <v>395500000</v>
      </c>
      <c r="Q52" s="36">
        <v>2551000</v>
      </c>
      <c r="R52" s="36">
        <v>2966000</v>
      </c>
      <c r="S52" s="85">
        <v>128.30000000000001</v>
      </c>
      <c r="T52" s="86">
        <v>7203</v>
      </c>
      <c r="U52" s="35">
        <v>131600000</v>
      </c>
      <c r="V52" s="36">
        <v>914100</v>
      </c>
      <c r="W52" s="36">
        <v>1397000</v>
      </c>
      <c r="X52" s="36">
        <v>74</v>
      </c>
      <c r="Y52" s="35">
        <v>112.6</v>
      </c>
      <c r="Z52" s="36">
        <v>8073000</v>
      </c>
      <c r="AA52" s="36">
        <v>2520000000000</v>
      </c>
      <c r="AB52" s="35">
        <v>1</v>
      </c>
      <c r="AC52" s="36">
        <v>1</v>
      </c>
      <c r="AD52" s="36">
        <v>1</v>
      </c>
      <c r="AE52" s="35">
        <v>1</v>
      </c>
      <c r="AF52" s="36">
        <v>1</v>
      </c>
      <c r="AG52" s="36">
        <v>1</v>
      </c>
    </row>
    <row r="53" spans="1:33" x14ac:dyDescent="0.45">
      <c r="A53" s="34"/>
      <c r="B53" s="38"/>
      <c r="C53" s="34"/>
      <c r="D53" s="38"/>
      <c r="E53" s="38"/>
      <c r="F53" s="38"/>
      <c r="G53" s="38"/>
      <c r="H53" s="34">
        <v>0</v>
      </c>
      <c r="I53" s="34"/>
      <c r="J53" s="38"/>
      <c r="K53" s="38"/>
      <c r="L53" s="38"/>
      <c r="M53" s="38"/>
      <c r="N53" s="34"/>
      <c r="O53" s="38"/>
      <c r="P53" s="34">
        <v>0</v>
      </c>
      <c r="Q53" s="38">
        <v>0</v>
      </c>
      <c r="R53" s="38">
        <v>0</v>
      </c>
      <c r="S53" s="38">
        <v>0</v>
      </c>
      <c r="T53" s="74">
        <v>0</v>
      </c>
      <c r="U53" s="34">
        <v>0</v>
      </c>
      <c r="V53" s="38">
        <v>0</v>
      </c>
      <c r="W53" s="38">
        <v>0</v>
      </c>
      <c r="X53" s="38">
        <v>0</v>
      </c>
      <c r="Y53" s="34"/>
      <c r="Z53" s="38">
        <v>0</v>
      </c>
      <c r="AA53" s="38">
        <v>0</v>
      </c>
      <c r="AB53" s="34"/>
      <c r="AC53" s="38"/>
      <c r="AD53" s="38"/>
      <c r="AE53" s="34"/>
      <c r="AF53" s="38"/>
      <c r="AG53" s="38"/>
    </row>
    <row r="54" spans="1:33" x14ac:dyDescent="0.45">
      <c r="A54" s="40" t="s">
        <v>173</v>
      </c>
      <c r="B54" s="36">
        <v>69.8</v>
      </c>
      <c r="C54" s="35">
        <v>283</v>
      </c>
      <c r="D54" s="36">
        <v>300</v>
      </c>
      <c r="E54" s="36">
        <v>7.5</v>
      </c>
      <c r="F54" s="36">
        <v>10.5</v>
      </c>
      <c r="G54" s="36">
        <v>27</v>
      </c>
      <c r="H54" s="35">
        <v>8890</v>
      </c>
      <c r="I54" s="35">
        <v>262</v>
      </c>
      <c r="J54" s="36">
        <v>208</v>
      </c>
      <c r="K54" s="37" t="s">
        <v>108</v>
      </c>
      <c r="L54" s="36">
        <v>116</v>
      </c>
      <c r="M54" s="36">
        <v>198</v>
      </c>
      <c r="N54" s="35">
        <v>1.7050000000000001</v>
      </c>
      <c r="O54" s="36">
        <v>24.42</v>
      </c>
      <c r="P54" s="35">
        <v>138000000</v>
      </c>
      <c r="Q54" s="36">
        <v>975600</v>
      </c>
      <c r="R54" s="36">
        <v>1065000</v>
      </c>
      <c r="S54" s="85">
        <v>124.60000000000001</v>
      </c>
      <c r="T54" s="86">
        <v>3236.9999999999995</v>
      </c>
      <c r="U54" s="35">
        <v>47340000</v>
      </c>
      <c r="V54" s="36">
        <v>315600</v>
      </c>
      <c r="W54" s="36">
        <v>482300</v>
      </c>
      <c r="X54" s="36">
        <v>73</v>
      </c>
      <c r="Y54" s="35">
        <v>60.13</v>
      </c>
      <c r="Z54" s="36">
        <v>493500</v>
      </c>
      <c r="AA54" s="36">
        <v>877200000000</v>
      </c>
      <c r="AB54" s="35">
        <v>3</v>
      </c>
      <c r="AC54" s="36">
        <v>3</v>
      </c>
      <c r="AD54" s="36">
        <v>4</v>
      </c>
      <c r="AE54" s="35">
        <v>3</v>
      </c>
      <c r="AF54" s="36">
        <v>3</v>
      </c>
      <c r="AG54" s="36">
        <v>4</v>
      </c>
    </row>
    <row r="55" spans="1:33" x14ac:dyDescent="0.45">
      <c r="A55" s="33" t="s">
        <v>174</v>
      </c>
      <c r="B55" s="31">
        <v>88.3</v>
      </c>
      <c r="C55" s="30">
        <v>290</v>
      </c>
      <c r="D55" s="31">
        <v>300</v>
      </c>
      <c r="E55" s="31">
        <v>8.5</v>
      </c>
      <c r="F55" s="31">
        <v>14</v>
      </c>
      <c r="G55" s="31">
        <v>27</v>
      </c>
      <c r="H55" s="30">
        <v>11250</v>
      </c>
      <c r="I55" s="30">
        <v>262</v>
      </c>
      <c r="J55" s="31">
        <v>208</v>
      </c>
      <c r="K55" s="32" t="s">
        <v>110</v>
      </c>
      <c r="L55" s="31">
        <v>118</v>
      </c>
      <c r="M55" s="31">
        <v>198</v>
      </c>
      <c r="N55" s="30">
        <v>1.7170000000000001</v>
      </c>
      <c r="O55" s="31">
        <v>19.43</v>
      </c>
      <c r="P55" s="30">
        <v>182600000</v>
      </c>
      <c r="Q55" s="31">
        <v>1260000</v>
      </c>
      <c r="R55" s="31">
        <v>1383000</v>
      </c>
      <c r="S55" s="83">
        <v>127.4</v>
      </c>
      <c r="T55" s="84">
        <v>3728</v>
      </c>
      <c r="U55" s="30">
        <v>63100000</v>
      </c>
      <c r="V55" s="31">
        <v>420600</v>
      </c>
      <c r="W55" s="31">
        <v>641200</v>
      </c>
      <c r="X55" s="31">
        <v>74.900000000000006</v>
      </c>
      <c r="Y55" s="30">
        <v>68.13</v>
      </c>
      <c r="Z55" s="31">
        <v>851700</v>
      </c>
      <c r="AA55" s="31">
        <v>1200000000000</v>
      </c>
      <c r="AB55" s="30">
        <v>1</v>
      </c>
      <c r="AC55" s="31">
        <v>3</v>
      </c>
      <c r="AD55" s="31">
        <v>3</v>
      </c>
      <c r="AE55" s="30">
        <v>1</v>
      </c>
      <c r="AF55" s="31">
        <v>3</v>
      </c>
      <c r="AG55" s="31">
        <v>3</v>
      </c>
    </row>
    <row r="56" spans="1:33" x14ac:dyDescent="0.45">
      <c r="A56" s="40" t="s">
        <v>175</v>
      </c>
      <c r="B56" s="36">
        <v>117</v>
      </c>
      <c r="C56" s="35">
        <v>300</v>
      </c>
      <c r="D56" s="36">
        <v>300</v>
      </c>
      <c r="E56" s="36">
        <v>11</v>
      </c>
      <c r="F56" s="36">
        <v>19</v>
      </c>
      <c r="G56" s="36">
        <v>27</v>
      </c>
      <c r="H56" s="35">
        <v>14910</v>
      </c>
      <c r="I56" s="35">
        <v>262</v>
      </c>
      <c r="J56" s="36">
        <v>208</v>
      </c>
      <c r="K56" s="37" t="s">
        <v>108</v>
      </c>
      <c r="L56" s="36">
        <v>120</v>
      </c>
      <c r="M56" s="36">
        <v>198</v>
      </c>
      <c r="N56" s="35">
        <v>1.732</v>
      </c>
      <c r="O56" s="36">
        <v>14.8</v>
      </c>
      <c r="P56" s="35">
        <v>251700000</v>
      </c>
      <c r="Q56" s="36">
        <v>1678000</v>
      </c>
      <c r="R56" s="36">
        <v>1869000</v>
      </c>
      <c r="S56" s="85">
        <v>129.9</v>
      </c>
      <c r="T56" s="86">
        <v>4743</v>
      </c>
      <c r="U56" s="35">
        <v>85630000</v>
      </c>
      <c r="V56" s="36">
        <v>570900</v>
      </c>
      <c r="W56" s="36">
        <v>870100</v>
      </c>
      <c r="X56" s="36">
        <v>75.8</v>
      </c>
      <c r="Y56" s="35">
        <v>80.63</v>
      </c>
      <c r="Z56" s="36">
        <v>1850000</v>
      </c>
      <c r="AA56" s="36">
        <v>1688000000000</v>
      </c>
      <c r="AB56" s="35">
        <v>1</v>
      </c>
      <c r="AC56" s="36">
        <v>1</v>
      </c>
      <c r="AD56" s="36">
        <v>1</v>
      </c>
      <c r="AE56" s="35">
        <v>1</v>
      </c>
      <c r="AF56" s="36">
        <v>1</v>
      </c>
      <c r="AG56" s="36">
        <v>1</v>
      </c>
    </row>
    <row r="57" spans="1:33" x14ac:dyDescent="0.45">
      <c r="A57" s="43" t="s">
        <v>176</v>
      </c>
      <c r="B57" s="31">
        <v>177</v>
      </c>
      <c r="C57" s="30">
        <v>320</v>
      </c>
      <c r="D57" s="31">
        <v>305</v>
      </c>
      <c r="E57" s="31">
        <v>16</v>
      </c>
      <c r="F57" s="31">
        <v>29</v>
      </c>
      <c r="G57" s="31">
        <v>27</v>
      </c>
      <c r="H57" s="30">
        <v>22510</v>
      </c>
      <c r="I57" s="30">
        <v>262</v>
      </c>
      <c r="J57" s="31">
        <v>208</v>
      </c>
      <c r="K57" s="32" t="s">
        <v>110</v>
      </c>
      <c r="L57" s="31">
        <v>126</v>
      </c>
      <c r="M57" s="31">
        <v>204</v>
      </c>
      <c r="N57" s="30">
        <v>1.782</v>
      </c>
      <c r="O57" s="31">
        <v>10.08</v>
      </c>
      <c r="P57" s="30">
        <v>409500000</v>
      </c>
      <c r="Q57" s="31">
        <v>2559000</v>
      </c>
      <c r="R57" s="31">
        <v>2927000</v>
      </c>
      <c r="S57" s="83">
        <v>134.9</v>
      </c>
      <c r="T57" s="84">
        <v>6848</v>
      </c>
      <c r="U57" s="30">
        <v>137360000</v>
      </c>
      <c r="V57" s="31">
        <v>900700</v>
      </c>
      <c r="W57" s="31">
        <v>1374000</v>
      </c>
      <c r="X57" s="31">
        <v>78.099999999999994</v>
      </c>
      <c r="Y57" s="30">
        <v>105.6</v>
      </c>
      <c r="Z57" s="31">
        <v>5983000</v>
      </c>
      <c r="AA57" s="31">
        <v>2903000000000</v>
      </c>
      <c r="AB57" s="30">
        <v>1</v>
      </c>
      <c r="AC57" s="31">
        <v>1</v>
      </c>
      <c r="AD57" s="32" t="s">
        <v>43</v>
      </c>
      <c r="AE57" s="30">
        <v>1</v>
      </c>
      <c r="AF57" s="31">
        <v>1</v>
      </c>
      <c r="AG57" s="32" t="s">
        <v>43</v>
      </c>
    </row>
    <row r="58" spans="1:33" x14ac:dyDescent="0.45">
      <c r="A58" s="40" t="s">
        <v>177</v>
      </c>
      <c r="B58" s="36">
        <v>238</v>
      </c>
      <c r="C58" s="35">
        <v>340</v>
      </c>
      <c r="D58" s="36">
        <v>310</v>
      </c>
      <c r="E58" s="36">
        <v>21</v>
      </c>
      <c r="F58" s="36">
        <v>39</v>
      </c>
      <c r="G58" s="36">
        <v>27</v>
      </c>
      <c r="H58" s="35">
        <v>30310.000000000004</v>
      </c>
      <c r="I58" s="35">
        <v>262</v>
      </c>
      <c r="J58" s="36">
        <v>208</v>
      </c>
      <c r="K58" s="37" t="s">
        <v>108</v>
      </c>
      <c r="L58" s="36">
        <v>132</v>
      </c>
      <c r="M58" s="36">
        <v>208</v>
      </c>
      <c r="N58" s="35">
        <v>1.8320000000000001</v>
      </c>
      <c r="O58" s="36">
        <v>7.6989999999999998</v>
      </c>
      <c r="P58" s="35">
        <v>592000000</v>
      </c>
      <c r="Q58" s="36">
        <v>3482000</v>
      </c>
      <c r="R58" s="36">
        <v>4078000</v>
      </c>
      <c r="S58" s="85">
        <v>139.80000000000001</v>
      </c>
      <c r="T58" s="86">
        <v>9053</v>
      </c>
      <c r="U58" s="35">
        <v>194000000</v>
      </c>
      <c r="V58" s="36">
        <v>1252000</v>
      </c>
      <c r="W58" s="36">
        <v>1913000</v>
      </c>
      <c r="X58" s="36">
        <v>80</v>
      </c>
      <c r="Y58" s="35">
        <v>130.6</v>
      </c>
      <c r="Z58" s="36">
        <v>14080000</v>
      </c>
      <c r="AA58" s="36">
        <v>4386000000000</v>
      </c>
      <c r="AB58" s="35">
        <v>1</v>
      </c>
      <c r="AC58" s="36">
        <v>1</v>
      </c>
      <c r="AD58" s="36">
        <v>1</v>
      </c>
      <c r="AE58" s="35">
        <v>1</v>
      </c>
      <c r="AF58" s="36">
        <v>1</v>
      </c>
      <c r="AG58" s="36">
        <v>1</v>
      </c>
    </row>
    <row r="59" spans="1:33" x14ac:dyDescent="0.45">
      <c r="A59" s="40" t="s">
        <v>178</v>
      </c>
      <c r="B59" s="36">
        <v>74.2</v>
      </c>
      <c r="C59" s="35">
        <v>301</v>
      </c>
      <c r="D59" s="36">
        <v>300</v>
      </c>
      <c r="E59" s="36">
        <v>8</v>
      </c>
      <c r="F59" s="36">
        <v>11</v>
      </c>
      <c r="G59" s="36">
        <v>27</v>
      </c>
      <c r="H59" s="35">
        <v>9460</v>
      </c>
      <c r="I59" s="35">
        <v>279</v>
      </c>
      <c r="J59" s="36">
        <v>225</v>
      </c>
      <c r="K59" s="37" t="s">
        <v>108</v>
      </c>
      <c r="L59" s="36">
        <v>118</v>
      </c>
      <c r="M59" s="36">
        <v>198</v>
      </c>
      <c r="N59" s="35">
        <v>1.74</v>
      </c>
      <c r="O59" s="36">
        <v>23.43</v>
      </c>
      <c r="P59" s="35">
        <v>164500000</v>
      </c>
      <c r="Q59" s="36">
        <v>1093000</v>
      </c>
      <c r="R59" s="36">
        <v>1196000</v>
      </c>
      <c r="S59" s="85">
        <v>131.9</v>
      </c>
      <c r="T59" s="86">
        <v>3540</v>
      </c>
      <c r="U59" s="35">
        <v>49590000</v>
      </c>
      <c r="V59" s="36">
        <v>330600</v>
      </c>
      <c r="W59" s="36">
        <v>505700</v>
      </c>
      <c r="X59" s="36">
        <v>72.400000000000006</v>
      </c>
      <c r="Y59" s="35">
        <v>61.63</v>
      </c>
      <c r="Z59" s="36">
        <v>558700</v>
      </c>
      <c r="AA59" s="36">
        <v>1041000000000</v>
      </c>
      <c r="AB59" s="35">
        <v>3</v>
      </c>
      <c r="AC59" s="36">
        <v>3</v>
      </c>
      <c r="AD59" s="36">
        <v>4</v>
      </c>
      <c r="AE59" s="35">
        <v>3</v>
      </c>
      <c r="AF59" s="36">
        <v>3</v>
      </c>
      <c r="AG59" s="36">
        <v>4</v>
      </c>
    </row>
    <row r="60" spans="1:33" x14ac:dyDescent="0.45">
      <c r="A60" s="33" t="s">
        <v>179</v>
      </c>
      <c r="B60" s="31">
        <v>97.6</v>
      </c>
      <c r="C60" s="30">
        <v>310</v>
      </c>
      <c r="D60" s="31">
        <v>300</v>
      </c>
      <c r="E60" s="31">
        <v>9</v>
      </c>
      <c r="F60" s="31">
        <v>15.5</v>
      </c>
      <c r="G60" s="31">
        <v>27</v>
      </c>
      <c r="H60" s="30">
        <v>12440</v>
      </c>
      <c r="I60" s="30">
        <v>279</v>
      </c>
      <c r="J60" s="31">
        <v>225</v>
      </c>
      <c r="K60" s="32" t="s">
        <v>110</v>
      </c>
      <c r="L60" s="31">
        <v>118</v>
      </c>
      <c r="M60" s="31">
        <v>198</v>
      </c>
      <c r="N60" s="30">
        <v>1.756</v>
      </c>
      <c r="O60" s="31">
        <v>17.98</v>
      </c>
      <c r="P60" s="30">
        <v>229300000</v>
      </c>
      <c r="Q60" s="31">
        <v>1479000</v>
      </c>
      <c r="R60" s="31">
        <v>1628000</v>
      </c>
      <c r="S60" s="83">
        <v>135.80000000000001</v>
      </c>
      <c r="T60" s="84">
        <v>4113</v>
      </c>
      <c r="U60" s="30">
        <v>69850000</v>
      </c>
      <c r="V60" s="31">
        <v>465700</v>
      </c>
      <c r="W60" s="31">
        <v>709700</v>
      </c>
      <c r="X60" s="31">
        <v>74.900000000000006</v>
      </c>
      <c r="Y60" s="30">
        <v>71.63</v>
      </c>
      <c r="Z60" s="31">
        <v>1080000</v>
      </c>
      <c r="AA60" s="31">
        <v>1512000000000</v>
      </c>
      <c r="AB60" s="30">
        <v>1</v>
      </c>
      <c r="AC60" s="31">
        <v>2</v>
      </c>
      <c r="AD60" s="31">
        <v>3</v>
      </c>
      <c r="AE60" s="30">
        <v>1</v>
      </c>
      <c r="AF60" s="31">
        <v>2</v>
      </c>
      <c r="AG60" s="31">
        <v>3</v>
      </c>
    </row>
    <row r="61" spans="1:33" x14ac:dyDescent="0.45">
      <c r="A61" s="40" t="s">
        <v>180</v>
      </c>
      <c r="B61" s="36">
        <v>127</v>
      </c>
      <c r="C61" s="35">
        <v>320</v>
      </c>
      <c r="D61" s="36">
        <v>300</v>
      </c>
      <c r="E61" s="36">
        <v>11.5</v>
      </c>
      <c r="F61" s="36">
        <v>20.5</v>
      </c>
      <c r="G61" s="36">
        <v>27</v>
      </c>
      <c r="H61" s="35">
        <v>16130.000000000002</v>
      </c>
      <c r="I61" s="35">
        <v>279</v>
      </c>
      <c r="J61" s="36">
        <v>225</v>
      </c>
      <c r="K61" s="37" t="s">
        <v>108</v>
      </c>
      <c r="L61" s="36">
        <v>122</v>
      </c>
      <c r="M61" s="36">
        <v>198</v>
      </c>
      <c r="N61" s="35">
        <v>1.7709999999999999</v>
      </c>
      <c r="O61" s="36">
        <v>13.98</v>
      </c>
      <c r="P61" s="35">
        <v>308200000</v>
      </c>
      <c r="Q61" s="36">
        <v>1926000</v>
      </c>
      <c r="R61" s="36">
        <v>2149000</v>
      </c>
      <c r="S61" s="85">
        <v>138.19999999999999</v>
      </c>
      <c r="T61" s="86">
        <v>5177</v>
      </c>
      <c r="U61" s="35">
        <v>92390000</v>
      </c>
      <c r="V61" s="36">
        <v>615900</v>
      </c>
      <c r="W61" s="36">
        <v>939100</v>
      </c>
      <c r="X61" s="36">
        <v>75.7</v>
      </c>
      <c r="Y61" s="35">
        <v>84.13</v>
      </c>
      <c r="Z61" s="36">
        <v>2251000</v>
      </c>
      <c r="AA61" s="36">
        <v>2069000000000</v>
      </c>
      <c r="AB61" s="35">
        <v>1</v>
      </c>
      <c r="AC61" s="36">
        <v>1</v>
      </c>
      <c r="AD61" s="36">
        <v>1</v>
      </c>
      <c r="AE61" s="35">
        <v>1</v>
      </c>
      <c r="AF61" s="36">
        <v>1</v>
      </c>
      <c r="AG61" s="36">
        <v>1</v>
      </c>
    </row>
    <row r="62" spans="1:33" x14ac:dyDescent="0.45">
      <c r="A62" s="43" t="s">
        <v>181</v>
      </c>
      <c r="B62" s="31">
        <v>186</v>
      </c>
      <c r="C62" s="30">
        <v>340</v>
      </c>
      <c r="D62" s="31">
        <v>305</v>
      </c>
      <c r="E62" s="31">
        <v>16</v>
      </c>
      <c r="F62" s="31">
        <v>30.5</v>
      </c>
      <c r="G62" s="31">
        <v>27</v>
      </c>
      <c r="H62" s="30">
        <v>23690</v>
      </c>
      <c r="I62" s="30">
        <v>279</v>
      </c>
      <c r="J62" s="31">
        <v>225</v>
      </c>
      <c r="K62" s="32" t="s">
        <v>110</v>
      </c>
      <c r="L62" s="31">
        <v>126</v>
      </c>
      <c r="M62" s="31">
        <v>204</v>
      </c>
      <c r="N62" s="30">
        <v>1.8220000000000001</v>
      </c>
      <c r="O62" s="31">
        <v>9.7959999999999994</v>
      </c>
      <c r="P62" s="30">
        <v>487100000</v>
      </c>
      <c r="Q62" s="31">
        <v>2865000</v>
      </c>
      <c r="R62" s="31">
        <v>3274000</v>
      </c>
      <c r="S62" s="83">
        <v>143.4</v>
      </c>
      <c r="T62" s="84">
        <v>7225</v>
      </c>
      <c r="U62" s="30">
        <v>144460000</v>
      </c>
      <c r="V62" s="31">
        <v>947000</v>
      </c>
      <c r="W62" s="31">
        <v>1445000</v>
      </c>
      <c r="X62" s="31">
        <v>78.099999999999994</v>
      </c>
      <c r="Y62" s="30">
        <v>108.6</v>
      </c>
      <c r="Z62" s="31">
        <v>6791000</v>
      </c>
      <c r="AA62" s="31">
        <v>3454000000000</v>
      </c>
      <c r="AB62" s="30">
        <v>1</v>
      </c>
      <c r="AC62" s="31">
        <v>1</v>
      </c>
      <c r="AD62" s="32" t="s">
        <v>43</v>
      </c>
      <c r="AE62" s="30">
        <v>1</v>
      </c>
      <c r="AF62" s="31">
        <v>1</v>
      </c>
      <c r="AG62" s="32" t="s">
        <v>43</v>
      </c>
    </row>
    <row r="63" spans="1:33" x14ac:dyDescent="0.45">
      <c r="A63" s="75" t="s">
        <v>182</v>
      </c>
      <c r="B63" s="76">
        <v>245</v>
      </c>
      <c r="C63" s="77">
        <v>359</v>
      </c>
      <c r="D63" s="76">
        <v>309</v>
      </c>
      <c r="E63" s="76">
        <v>21</v>
      </c>
      <c r="F63" s="76">
        <v>40</v>
      </c>
      <c r="G63" s="76">
        <v>27</v>
      </c>
      <c r="H63" s="77">
        <v>31200</v>
      </c>
      <c r="I63" s="77">
        <v>279</v>
      </c>
      <c r="J63" s="76">
        <v>225</v>
      </c>
      <c r="K63" s="78" t="s">
        <v>108</v>
      </c>
      <c r="L63" s="76">
        <v>132</v>
      </c>
      <c r="M63" s="76">
        <v>204</v>
      </c>
      <c r="N63" s="77">
        <v>1.8660000000000001</v>
      </c>
      <c r="O63" s="76">
        <v>7.6159999999999997</v>
      </c>
      <c r="P63" s="77">
        <v>681300000</v>
      </c>
      <c r="Q63" s="76">
        <v>3796000</v>
      </c>
      <c r="R63" s="76">
        <v>4435000</v>
      </c>
      <c r="S63" s="87">
        <v>147.79999999999998</v>
      </c>
      <c r="T63" s="88">
        <v>9485</v>
      </c>
      <c r="U63" s="77">
        <v>197100000</v>
      </c>
      <c r="V63" s="76">
        <v>1276000</v>
      </c>
      <c r="W63" s="76">
        <v>1951000</v>
      </c>
      <c r="X63" s="76">
        <v>79.5</v>
      </c>
      <c r="Y63" s="77">
        <v>132.6</v>
      </c>
      <c r="Z63" s="76">
        <v>15010000</v>
      </c>
      <c r="AA63" s="76">
        <v>5004000000000</v>
      </c>
      <c r="AB63" s="77">
        <v>1</v>
      </c>
      <c r="AC63" s="76">
        <v>1</v>
      </c>
      <c r="AD63" s="76">
        <v>1</v>
      </c>
      <c r="AE63" s="77">
        <v>1</v>
      </c>
      <c r="AF63" s="76">
        <v>1</v>
      </c>
      <c r="AG63" s="76">
        <v>1</v>
      </c>
    </row>
    <row r="64" spans="1:33" x14ac:dyDescent="0.45">
      <c r="A64" s="29" t="s">
        <v>183</v>
      </c>
      <c r="B64" s="27">
        <v>78.900000000000006</v>
      </c>
      <c r="C64" s="26">
        <v>320</v>
      </c>
      <c r="D64" s="27">
        <v>300</v>
      </c>
      <c r="E64" s="27">
        <v>8.5</v>
      </c>
      <c r="F64" s="27">
        <v>11.5</v>
      </c>
      <c r="G64" s="27">
        <v>27</v>
      </c>
      <c r="H64" s="26">
        <v>10050</v>
      </c>
      <c r="I64" s="26">
        <v>297</v>
      </c>
      <c r="J64" s="27">
        <v>243</v>
      </c>
      <c r="K64" s="28" t="s">
        <v>108</v>
      </c>
      <c r="L64" s="27">
        <v>118</v>
      </c>
      <c r="M64" s="27">
        <v>198</v>
      </c>
      <c r="N64" s="26">
        <v>1.7769999999999999</v>
      </c>
      <c r="O64" s="27">
        <v>22.52</v>
      </c>
      <c r="P64" s="26">
        <v>195500000</v>
      </c>
      <c r="Q64" s="27">
        <v>1222000</v>
      </c>
      <c r="R64" s="27">
        <v>1341000</v>
      </c>
      <c r="S64" s="68">
        <v>139.5</v>
      </c>
      <c r="T64" s="82">
        <v>3869</v>
      </c>
      <c r="U64" s="26">
        <v>51850000</v>
      </c>
      <c r="V64" s="27">
        <v>345600</v>
      </c>
      <c r="W64" s="27">
        <v>529300</v>
      </c>
      <c r="X64" s="27">
        <v>71.8</v>
      </c>
      <c r="Y64" s="26">
        <v>63.13</v>
      </c>
      <c r="Z64" s="27">
        <v>630700</v>
      </c>
      <c r="AA64" s="27">
        <v>1231000000000</v>
      </c>
      <c r="AB64" s="26">
        <v>3</v>
      </c>
      <c r="AC64" s="27">
        <v>3</v>
      </c>
      <c r="AD64" s="27">
        <v>4</v>
      </c>
      <c r="AE64" s="26">
        <v>3</v>
      </c>
      <c r="AF64" s="27">
        <v>3</v>
      </c>
      <c r="AG64" s="27">
        <v>4</v>
      </c>
    </row>
    <row r="65" spans="1:33" x14ac:dyDescent="0.45">
      <c r="A65" s="33" t="s">
        <v>184</v>
      </c>
      <c r="B65" s="31">
        <v>105</v>
      </c>
      <c r="C65" s="30">
        <v>330</v>
      </c>
      <c r="D65" s="31">
        <v>300</v>
      </c>
      <c r="E65" s="31">
        <v>9.5</v>
      </c>
      <c r="F65" s="31">
        <v>16.5</v>
      </c>
      <c r="G65" s="31">
        <v>27</v>
      </c>
      <c r="H65" s="30">
        <v>13350</v>
      </c>
      <c r="I65" s="30">
        <v>297</v>
      </c>
      <c r="J65" s="31">
        <v>243</v>
      </c>
      <c r="K65" s="32" t="s">
        <v>110</v>
      </c>
      <c r="L65" s="31">
        <v>118</v>
      </c>
      <c r="M65" s="31">
        <v>198</v>
      </c>
      <c r="N65" s="30">
        <v>1.7949999999999999</v>
      </c>
      <c r="O65" s="31">
        <v>17.13</v>
      </c>
      <c r="P65" s="30">
        <v>276900000</v>
      </c>
      <c r="Q65" s="31">
        <v>1678000</v>
      </c>
      <c r="R65" s="31">
        <v>1850000</v>
      </c>
      <c r="S65" s="70">
        <v>144</v>
      </c>
      <c r="T65" s="84">
        <v>4495</v>
      </c>
      <c r="U65" s="30">
        <v>74360000</v>
      </c>
      <c r="V65" s="31">
        <v>495700</v>
      </c>
      <c r="W65" s="31">
        <v>755900</v>
      </c>
      <c r="X65" s="31">
        <v>74.599999999999994</v>
      </c>
      <c r="Y65" s="30">
        <v>74.13</v>
      </c>
      <c r="Z65" s="31">
        <v>1272000</v>
      </c>
      <c r="AA65" s="31">
        <v>1824000000000</v>
      </c>
      <c r="AB65" s="30">
        <v>1</v>
      </c>
      <c r="AC65" s="31">
        <v>1</v>
      </c>
      <c r="AD65" s="31">
        <v>3</v>
      </c>
      <c r="AE65" s="30">
        <v>1</v>
      </c>
      <c r="AF65" s="31">
        <v>1</v>
      </c>
      <c r="AG65" s="31">
        <v>3</v>
      </c>
    </row>
    <row r="66" spans="1:33" x14ac:dyDescent="0.45">
      <c r="A66" s="40" t="s">
        <v>185</v>
      </c>
      <c r="B66" s="36">
        <v>134</v>
      </c>
      <c r="C66" s="35">
        <v>340</v>
      </c>
      <c r="D66" s="36">
        <v>300</v>
      </c>
      <c r="E66" s="36">
        <v>12</v>
      </c>
      <c r="F66" s="36">
        <v>21.5</v>
      </c>
      <c r="G66" s="36">
        <v>27</v>
      </c>
      <c r="H66" s="35">
        <v>17090</v>
      </c>
      <c r="I66" s="35">
        <v>297</v>
      </c>
      <c r="J66" s="36">
        <v>243</v>
      </c>
      <c r="K66" s="37" t="s">
        <v>108</v>
      </c>
      <c r="L66" s="36">
        <v>122</v>
      </c>
      <c r="M66" s="36">
        <v>198</v>
      </c>
      <c r="N66" s="35">
        <v>1.81</v>
      </c>
      <c r="O66" s="36">
        <v>13.49</v>
      </c>
      <c r="P66" s="35">
        <v>366600000</v>
      </c>
      <c r="Q66" s="36">
        <v>2156000</v>
      </c>
      <c r="R66" s="36">
        <v>2408000</v>
      </c>
      <c r="S66" s="72">
        <v>146.5</v>
      </c>
      <c r="T66" s="86">
        <v>5609</v>
      </c>
      <c r="U66" s="35">
        <v>96900000</v>
      </c>
      <c r="V66" s="36">
        <v>646000</v>
      </c>
      <c r="W66" s="36">
        <v>985700</v>
      </c>
      <c r="X66" s="36">
        <v>75.3</v>
      </c>
      <c r="Y66" s="35">
        <v>86.63</v>
      </c>
      <c r="Z66" s="36">
        <v>2572000</v>
      </c>
      <c r="AA66" s="36">
        <v>2454000000000</v>
      </c>
      <c r="AB66" s="35">
        <v>1</v>
      </c>
      <c r="AC66" s="36">
        <v>1</v>
      </c>
      <c r="AD66" s="36">
        <v>1</v>
      </c>
      <c r="AE66" s="35">
        <v>1</v>
      </c>
      <c r="AF66" s="36">
        <v>1</v>
      </c>
      <c r="AG66" s="36">
        <v>1</v>
      </c>
    </row>
    <row r="67" spans="1:33" x14ac:dyDescent="0.45">
      <c r="A67" s="33" t="s">
        <v>186</v>
      </c>
      <c r="B67" s="31">
        <v>248</v>
      </c>
      <c r="C67" s="30">
        <v>377</v>
      </c>
      <c r="D67" s="31">
        <v>309</v>
      </c>
      <c r="E67" s="31">
        <v>21</v>
      </c>
      <c r="F67" s="31">
        <v>40</v>
      </c>
      <c r="G67" s="31">
        <v>27</v>
      </c>
      <c r="H67" s="30">
        <v>31580</v>
      </c>
      <c r="I67" s="30">
        <v>297</v>
      </c>
      <c r="J67" s="31">
        <v>243</v>
      </c>
      <c r="K67" s="32" t="s">
        <v>110</v>
      </c>
      <c r="L67" s="31">
        <v>132</v>
      </c>
      <c r="M67" s="31">
        <v>204</v>
      </c>
      <c r="N67" s="30">
        <v>1.9019999999999999</v>
      </c>
      <c r="O67" s="31">
        <v>7.67</v>
      </c>
      <c r="P67" s="30">
        <v>763700000</v>
      </c>
      <c r="Q67" s="31">
        <v>4052000</v>
      </c>
      <c r="R67" s="31">
        <v>4718000</v>
      </c>
      <c r="S67" s="70">
        <v>155.5</v>
      </c>
      <c r="T67" s="84">
        <v>9863</v>
      </c>
      <c r="U67" s="30">
        <v>197100000</v>
      </c>
      <c r="V67" s="31">
        <v>1276000</v>
      </c>
      <c r="W67" s="31">
        <v>1953000</v>
      </c>
      <c r="X67" s="31">
        <v>79</v>
      </c>
      <c r="Y67" s="30">
        <v>132.6</v>
      </c>
      <c r="Z67" s="31">
        <v>15060000</v>
      </c>
      <c r="AA67" s="31">
        <v>5584000000000</v>
      </c>
      <c r="AB67" s="30">
        <v>1</v>
      </c>
      <c r="AC67" s="31">
        <v>1</v>
      </c>
      <c r="AD67" s="31">
        <v>1</v>
      </c>
      <c r="AE67" s="30">
        <v>1</v>
      </c>
      <c r="AF67" s="31">
        <v>1</v>
      </c>
      <c r="AG67" s="31">
        <v>1</v>
      </c>
    </row>
    <row r="68" spans="1:33" x14ac:dyDescent="0.45">
      <c r="A68" s="43" t="s">
        <v>187</v>
      </c>
      <c r="B68" s="31">
        <v>83.7</v>
      </c>
      <c r="C68" s="30">
        <v>339</v>
      </c>
      <c r="D68" s="31">
        <v>300</v>
      </c>
      <c r="E68" s="31">
        <v>9</v>
      </c>
      <c r="F68" s="31">
        <v>12</v>
      </c>
      <c r="G68" s="31">
        <v>27</v>
      </c>
      <c r="H68" s="30">
        <v>10660</v>
      </c>
      <c r="I68" s="30">
        <v>315</v>
      </c>
      <c r="J68" s="31">
        <v>261</v>
      </c>
      <c r="K68" s="32" t="s">
        <v>110</v>
      </c>
      <c r="L68" s="31">
        <v>118</v>
      </c>
      <c r="M68" s="31">
        <v>198</v>
      </c>
      <c r="N68" s="30">
        <v>1.8140000000000001</v>
      </c>
      <c r="O68" s="31">
        <v>21.67</v>
      </c>
      <c r="P68" s="30">
        <v>230400000</v>
      </c>
      <c r="Q68" s="31">
        <v>1359000</v>
      </c>
      <c r="R68" s="31">
        <v>1495000</v>
      </c>
      <c r="S68" s="70">
        <v>147</v>
      </c>
      <c r="T68" s="84">
        <v>4217</v>
      </c>
      <c r="U68" s="30">
        <v>54100000</v>
      </c>
      <c r="V68" s="31">
        <v>360700</v>
      </c>
      <c r="W68" s="31">
        <v>553000</v>
      </c>
      <c r="X68" s="31">
        <v>71.2</v>
      </c>
      <c r="Y68" s="30">
        <v>64.63</v>
      </c>
      <c r="Z68" s="31">
        <v>709900</v>
      </c>
      <c r="AA68" s="31">
        <v>1444000000000</v>
      </c>
      <c r="AB68" s="30">
        <v>2</v>
      </c>
      <c r="AC68" s="31">
        <v>3</v>
      </c>
      <c r="AD68" s="31">
        <v>3</v>
      </c>
      <c r="AE68" s="30">
        <v>2</v>
      </c>
      <c r="AF68" s="31">
        <v>3</v>
      </c>
      <c r="AG68" s="31">
        <v>3</v>
      </c>
    </row>
    <row r="69" spans="1:33" x14ac:dyDescent="0.45">
      <c r="A69" s="40" t="s">
        <v>188</v>
      </c>
      <c r="B69" s="36">
        <v>112</v>
      </c>
      <c r="C69" s="35">
        <v>350</v>
      </c>
      <c r="D69" s="36">
        <v>300</v>
      </c>
      <c r="E69" s="36">
        <v>10</v>
      </c>
      <c r="F69" s="36">
        <v>17.5</v>
      </c>
      <c r="G69" s="36">
        <v>27</v>
      </c>
      <c r="H69" s="35">
        <v>14280.000000000002</v>
      </c>
      <c r="I69" s="35">
        <v>315</v>
      </c>
      <c r="J69" s="36">
        <v>261</v>
      </c>
      <c r="K69" s="37" t="s">
        <v>108</v>
      </c>
      <c r="L69" s="36">
        <v>120</v>
      </c>
      <c r="M69" s="36">
        <v>198</v>
      </c>
      <c r="N69" s="35">
        <v>1.8340000000000001</v>
      </c>
      <c r="O69" s="36">
        <v>16.36</v>
      </c>
      <c r="P69" s="35">
        <v>330900000</v>
      </c>
      <c r="Q69" s="36">
        <v>1891000</v>
      </c>
      <c r="R69" s="36">
        <v>2088000</v>
      </c>
      <c r="S69" s="72">
        <v>152.20000000000002</v>
      </c>
      <c r="T69" s="86">
        <v>4896</v>
      </c>
      <c r="U69" s="35">
        <v>78870000</v>
      </c>
      <c r="V69" s="36">
        <v>525800</v>
      </c>
      <c r="W69" s="36">
        <v>802300</v>
      </c>
      <c r="X69" s="36">
        <v>74.3</v>
      </c>
      <c r="Y69" s="35">
        <v>76.63</v>
      </c>
      <c r="Z69" s="36">
        <v>1488000</v>
      </c>
      <c r="AA69" s="36">
        <v>2177000000000</v>
      </c>
      <c r="AB69" s="35">
        <v>1</v>
      </c>
      <c r="AC69" s="36">
        <v>1</v>
      </c>
      <c r="AD69" s="36">
        <v>2</v>
      </c>
      <c r="AE69" s="35">
        <v>1</v>
      </c>
      <c r="AF69" s="36">
        <v>1</v>
      </c>
      <c r="AG69" s="36">
        <v>2</v>
      </c>
    </row>
    <row r="70" spans="1:33" x14ac:dyDescent="0.45">
      <c r="A70" s="33" t="s">
        <v>189</v>
      </c>
      <c r="B70" s="31">
        <v>142</v>
      </c>
      <c r="C70" s="30">
        <v>360</v>
      </c>
      <c r="D70" s="31">
        <v>300</v>
      </c>
      <c r="E70" s="31">
        <v>12.5</v>
      </c>
      <c r="F70" s="31">
        <v>22.5</v>
      </c>
      <c r="G70" s="31">
        <v>27</v>
      </c>
      <c r="H70" s="30">
        <v>18060</v>
      </c>
      <c r="I70" s="30">
        <v>315</v>
      </c>
      <c r="J70" s="31">
        <v>261</v>
      </c>
      <c r="K70" s="32" t="s">
        <v>110</v>
      </c>
      <c r="L70" s="31">
        <v>122</v>
      </c>
      <c r="M70" s="31">
        <v>198</v>
      </c>
      <c r="N70" s="30">
        <v>1.849</v>
      </c>
      <c r="O70" s="31">
        <v>13.04</v>
      </c>
      <c r="P70" s="30">
        <v>431900000</v>
      </c>
      <c r="Q70" s="31">
        <v>2400000</v>
      </c>
      <c r="R70" s="31">
        <v>2683000</v>
      </c>
      <c r="S70" s="70">
        <v>154.60000000000002</v>
      </c>
      <c r="T70" s="84">
        <v>6060</v>
      </c>
      <c r="U70" s="30">
        <v>101400000</v>
      </c>
      <c r="V70" s="31">
        <v>676100</v>
      </c>
      <c r="W70" s="31">
        <v>1032000</v>
      </c>
      <c r="X70" s="31">
        <v>74.900000000000006</v>
      </c>
      <c r="Y70" s="30">
        <v>89.13</v>
      </c>
      <c r="Z70" s="31">
        <v>2925000</v>
      </c>
      <c r="AA70" s="31">
        <v>2883000000000</v>
      </c>
      <c r="AB70" s="30">
        <v>1</v>
      </c>
      <c r="AC70" s="31">
        <v>1</v>
      </c>
      <c r="AD70" s="31">
        <v>1</v>
      </c>
      <c r="AE70" s="30">
        <v>1</v>
      </c>
      <c r="AF70" s="31">
        <v>1</v>
      </c>
      <c r="AG70" s="31">
        <v>1</v>
      </c>
    </row>
    <row r="71" spans="1:33" x14ac:dyDescent="0.45">
      <c r="A71" s="40" t="s">
        <v>190</v>
      </c>
      <c r="B71" s="36">
        <v>250</v>
      </c>
      <c r="C71" s="35">
        <v>395</v>
      </c>
      <c r="D71" s="36">
        <v>308</v>
      </c>
      <c r="E71" s="36">
        <v>21</v>
      </c>
      <c r="F71" s="36">
        <v>40</v>
      </c>
      <c r="G71" s="36">
        <v>27</v>
      </c>
      <c r="H71" s="35">
        <v>31880</v>
      </c>
      <c r="I71" s="35">
        <v>315</v>
      </c>
      <c r="J71" s="36">
        <v>261</v>
      </c>
      <c r="K71" s="37" t="s">
        <v>108</v>
      </c>
      <c r="L71" s="36">
        <v>132</v>
      </c>
      <c r="M71" s="36">
        <v>204</v>
      </c>
      <c r="N71" s="35">
        <v>1.9339999999999999</v>
      </c>
      <c r="O71" s="36">
        <v>7.73</v>
      </c>
      <c r="P71" s="35">
        <v>848700000</v>
      </c>
      <c r="Q71" s="36">
        <v>4297000</v>
      </c>
      <c r="R71" s="36">
        <v>4989000</v>
      </c>
      <c r="S71" s="72">
        <v>163.19999999999999</v>
      </c>
      <c r="T71" s="86">
        <v>10240</v>
      </c>
      <c r="U71" s="35">
        <v>195200000</v>
      </c>
      <c r="V71" s="36">
        <v>1268000</v>
      </c>
      <c r="W71" s="36">
        <v>1942000</v>
      </c>
      <c r="X71" s="36">
        <v>78.3</v>
      </c>
      <c r="Y71" s="35">
        <v>132.6</v>
      </c>
      <c r="Z71" s="36">
        <v>15070000</v>
      </c>
      <c r="AA71" s="36">
        <v>6137000000000</v>
      </c>
      <c r="AB71" s="35">
        <v>1</v>
      </c>
      <c r="AC71" s="36">
        <v>1</v>
      </c>
      <c r="AD71" s="36">
        <v>1</v>
      </c>
      <c r="AE71" s="35">
        <v>1</v>
      </c>
      <c r="AF71" s="36">
        <v>1</v>
      </c>
      <c r="AG71" s="36">
        <v>1</v>
      </c>
    </row>
    <row r="72" spans="1:33" x14ac:dyDescent="0.45">
      <c r="A72" s="40" t="s">
        <v>191</v>
      </c>
      <c r="B72" s="36">
        <v>92.4</v>
      </c>
      <c r="C72" s="35">
        <v>378</v>
      </c>
      <c r="D72" s="36">
        <v>300</v>
      </c>
      <c r="E72" s="36">
        <v>9.5</v>
      </c>
      <c r="F72" s="36">
        <v>13</v>
      </c>
      <c r="G72" s="36">
        <v>27</v>
      </c>
      <c r="H72" s="35">
        <v>11770</v>
      </c>
      <c r="I72" s="35">
        <v>352</v>
      </c>
      <c r="J72" s="36">
        <v>298</v>
      </c>
      <c r="K72" s="37" t="s">
        <v>108</v>
      </c>
      <c r="L72" s="36">
        <v>118</v>
      </c>
      <c r="M72" s="36">
        <v>198</v>
      </c>
      <c r="N72" s="35">
        <v>1.891</v>
      </c>
      <c r="O72" s="36">
        <v>20.46</v>
      </c>
      <c r="P72" s="35">
        <v>312500000</v>
      </c>
      <c r="Q72" s="36">
        <v>1654000</v>
      </c>
      <c r="R72" s="36">
        <v>1824000</v>
      </c>
      <c r="S72" s="72">
        <v>163</v>
      </c>
      <c r="T72" s="86">
        <v>4795</v>
      </c>
      <c r="U72" s="35">
        <v>58610000</v>
      </c>
      <c r="V72" s="36">
        <v>390800</v>
      </c>
      <c r="W72" s="36">
        <v>599700</v>
      </c>
      <c r="X72" s="36">
        <v>70.599999999999994</v>
      </c>
      <c r="Y72" s="35">
        <v>67.13</v>
      </c>
      <c r="Z72" s="36">
        <v>846900</v>
      </c>
      <c r="AA72" s="36">
        <v>1948000000000</v>
      </c>
      <c r="AB72" s="35">
        <v>2</v>
      </c>
      <c r="AC72" s="36">
        <v>3</v>
      </c>
      <c r="AD72" s="36">
        <v>3</v>
      </c>
      <c r="AE72" s="35">
        <v>2</v>
      </c>
      <c r="AF72" s="36">
        <v>3</v>
      </c>
      <c r="AG72" s="36">
        <v>4</v>
      </c>
    </row>
    <row r="73" spans="1:33" x14ac:dyDescent="0.45">
      <c r="A73" s="33" t="s">
        <v>192</v>
      </c>
      <c r="B73" s="31">
        <v>125</v>
      </c>
      <c r="C73" s="30">
        <v>390</v>
      </c>
      <c r="D73" s="31">
        <v>300</v>
      </c>
      <c r="E73" s="31">
        <v>11</v>
      </c>
      <c r="F73" s="31">
        <v>19</v>
      </c>
      <c r="G73" s="31">
        <v>27</v>
      </c>
      <c r="H73" s="30">
        <v>15900</v>
      </c>
      <c r="I73" s="30">
        <v>352</v>
      </c>
      <c r="J73" s="31">
        <v>298</v>
      </c>
      <c r="K73" s="32" t="s">
        <v>110</v>
      </c>
      <c r="L73" s="31">
        <v>120</v>
      </c>
      <c r="M73" s="31">
        <v>198</v>
      </c>
      <c r="N73" s="30">
        <v>1.9119999999999999</v>
      </c>
      <c r="O73" s="31">
        <v>15.32</v>
      </c>
      <c r="P73" s="30">
        <v>450700000</v>
      </c>
      <c r="Q73" s="31">
        <v>2311000</v>
      </c>
      <c r="R73" s="31">
        <v>2562000</v>
      </c>
      <c r="S73" s="70">
        <v>168.4</v>
      </c>
      <c r="T73" s="84">
        <v>5733</v>
      </c>
      <c r="U73" s="30">
        <v>85640000</v>
      </c>
      <c r="V73" s="31">
        <v>570900</v>
      </c>
      <c r="W73" s="31">
        <v>872900</v>
      </c>
      <c r="X73" s="31">
        <v>73.400000000000006</v>
      </c>
      <c r="Y73" s="30">
        <v>80.63</v>
      </c>
      <c r="Z73" s="31">
        <v>1890000</v>
      </c>
      <c r="AA73" s="31">
        <v>2942000000000</v>
      </c>
      <c r="AB73" s="30">
        <v>1</v>
      </c>
      <c r="AC73" s="31">
        <v>1</v>
      </c>
      <c r="AD73" s="31">
        <v>1</v>
      </c>
      <c r="AE73" s="30">
        <v>1</v>
      </c>
      <c r="AF73" s="31">
        <v>2</v>
      </c>
      <c r="AG73" s="31">
        <v>2</v>
      </c>
    </row>
    <row r="74" spans="1:33" x14ac:dyDescent="0.45">
      <c r="A74" s="40" t="s">
        <v>193</v>
      </c>
      <c r="B74" s="36">
        <v>155</v>
      </c>
      <c r="C74" s="35">
        <v>400</v>
      </c>
      <c r="D74" s="36">
        <v>300</v>
      </c>
      <c r="E74" s="36">
        <v>13.5</v>
      </c>
      <c r="F74" s="36">
        <v>24</v>
      </c>
      <c r="G74" s="36">
        <v>27</v>
      </c>
      <c r="H74" s="35">
        <v>19780</v>
      </c>
      <c r="I74" s="35">
        <v>352</v>
      </c>
      <c r="J74" s="36">
        <v>298</v>
      </c>
      <c r="K74" s="37" t="s">
        <v>108</v>
      </c>
      <c r="L74" s="36">
        <v>124</v>
      </c>
      <c r="M74" s="36">
        <v>198</v>
      </c>
      <c r="N74" s="35">
        <v>1.927</v>
      </c>
      <c r="O74" s="36">
        <v>12.41</v>
      </c>
      <c r="P74" s="35">
        <v>576800000</v>
      </c>
      <c r="Q74" s="36">
        <v>2884000</v>
      </c>
      <c r="R74" s="36">
        <v>3232000</v>
      </c>
      <c r="S74" s="72">
        <v>170.79999999999998</v>
      </c>
      <c r="T74" s="86">
        <v>6998</v>
      </c>
      <c r="U74" s="35">
        <v>108200000</v>
      </c>
      <c r="V74" s="36">
        <v>721300</v>
      </c>
      <c r="W74" s="36">
        <v>1104000</v>
      </c>
      <c r="X74" s="36">
        <v>74</v>
      </c>
      <c r="Y74" s="35">
        <v>93.13</v>
      </c>
      <c r="Z74" s="36">
        <v>3557000</v>
      </c>
      <c r="AA74" s="36">
        <v>3817000000000</v>
      </c>
      <c r="AB74" s="35">
        <v>1</v>
      </c>
      <c r="AC74" s="36">
        <v>1</v>
      </c>
      <c r="AD74" s="36">
        <v>1</v>
      </c>
      <c r="AE74" s="35">
        <v>1</v>
      </c>
      <c r="AF74" s="36">
        <v>1</v>
      </c>
      <c r="AG74" s="36">
        <v>1</v>
      </c>
    </row>
    <row r="75" spans="1:33" x14ac:dyDescent="0.45">
      <c r="A75" s="33" t="s">
        <v>194</v>
      </c>
      <c r="B75" s="31">
        <v>256</v>
      </c>
      <c r="C75" s="30">
        <v>432</v>
      </c>
      <c r="D75" s="31">
        <v>307</v>
      </c>
      <c r="E75" s="31">
        <v>21</v>
      </c>
      <c r="F75" s="31">
        <v>40</v>
      </c>
      <c r="G75" s="31">
        <v>27</v>
      </c>
      <c r="H75" s="30">
        <v>32580</v>
      </c>
      <c r="I75" s="30">
        <v>352</v>
      </c>
      <c r="J75" s="31">
        <v>298</v>
      </c>
      <c r="K75" s="32" t="s">
        <v>110</v>
      </c>
      <c r="L75" s="31">
        <v>132</v>
      </c>
      <c r="M75" s="31">
        <v>202</v>
      </c>
      <c r="N75" s="30">
        <v>2.004</v>
      </c>
      <c r="O75" s="31">
        <v>7.835</v>
      </c>
      <c r="P75" s="30">
        <v>1041000000</v>
      </c>
      <c r="Q75" s="31">
        <v>4820000</v>
      </c>
      <c r="R75" s="31">
        <v>5571000</v>
      </c>
      <c r="S75" s="70">
        <v>178.79999999999998</v>
      </c>
      <c r="T75" s="84">
        <v>11020</v>
      </c>
      <c r="U75" s="30">
        <v>193400000</v>
      </c>
      <c r="V75" s="31">
        <v>1260000</v>
      </c>
      <c r="W75" s="31">
        <v>1934000</v>
      </c>
      <c r="X75" s="31">
        <v>77</v>
      </c>
      <c r="Y75" s="30">
        <v>132.6</v>
      </c>
      <c r="Z75" s="31">
        <v>15150000</v>
      </c>
      <c r="AA75" s="31">
        <v>7410000000000</v>
      </c>
      <c r="AB75" s="30">
        <v>1</v>
      </c>
      <c r="AC75" s="31">
        <v>1</v>
      </c>
      <c r="AD75" s="31">
        <v>1</v>
      </c>
      <c r="AE75" s="30">
        <v>1</v>
      </c>
      <c r="AF75" s="31">
        <v>1</v>
      </c>
      <c r="AG75" s="31">
        <v>1</v>
      </c>
    </row>
    <row r="76" spans="1:33" x14ac:dyDescent="0.45">
      <c r="A76" s="43" t="s">
        <v>195</v>
      </c>
      <c r="B76" s="31">
        <v>99.7</v>
      </c>
      <c r="C76" s="30">
        <v>425</v>
      </c>
      <c r="D76" s="31">
        <v>300</v>
      </c>
      <c r="E76" s="31">
        <v>10</v>
      </c>
      <c r="F76" s="31">
        <v>13.5</v>
      </c>
      <c r="G76" s="31">
        <v>27</v>
      </c>
      <c r="H76" s="30">
        <v>12710</v>
      </c>
      <c r="I76" s="30">
        <v>398</v>
      </c>
      <c r="J76" s="31">
        <v>344</v>
      </c>
      <c r="K76" s="32" t="s">
        <v>110</v>
      </c>
      <c r="L76" s="31">
        <v>120</v>
      </c>
      <c r="M76" s="31">
        <v>198</v>
      </c>
      <c r="N76" s="30">
        <v>1.984</v>
      </c>
      <c r="O76" s="31">
        <v>19.89</v>
      </c>
      <c r="P76" s="30">
        <v>418900000</v>
      </c>
      <c r="Q76" s="31">
        <v>1971000</v>
      </c>
      <c r="R76" s="31">
        <v>2183000</v>
      </c>
      <c r="S76" s="70">
        <v>181.6</v>
      </c>
      <c r="T76" s="84">
        <v>5470</v>
      </c>
      <c r="U76" s="30">
        <v>60880000</v>
      </c>
      <c r="V76" s="31">
        <v>405800</v>
      </c>
      <c r="W76" s="31">
        <v>624400</v>
      </c>
      <c r="X76" s="31">
        <v>69.2</v>
      </c>
      <c r="Y76" s="30">
        <v>68.63</v>
      </c>
      <c r="Z76" s="31">
        <v>956100</v>
      </c>
      <c r="AA76" s="31">
        <v>2572000000000</v>
      </c>
      <c r="AB76" s="30">
        <v>1</v>
      </c>
      <c r="AC76" s="31">
        <v>3</v>
      </c>
      <c r="AD76" s="31">
        <v>3</v>
      </c>
      <c r="AE76" s="30">
        <v>2</v>
      </c>
      <c r="AF76" s="31">
        <v>4</v>
      </c>
      <c r="AG76" s="31">
        <v>4</v>
      </c>
    </row>
    <row r="77" spans="1:33" x14ac:dyDescent="0.45">
      <c r="A77" s="40" t="s">
        <v>196</v>
      </c>
      <c r="B77" s="36">
        <v>140</v>
      </c>
      <c r="C77" s="35">
        <v>440</v>
      </c>
      <c r="D77" s="36">
        <v>300</v>
      </c>
      <c r="E77" s="36">
        <v>11.5</v>
      </c>
      <c r="F77" s="36">
        <v>21</v>
      </c>
      <c r="G77" s="36">
        <v>27</v>
      </c>
      <c r="H77" s="35">
        <v>17800</v>
      </c>
      <c r="I77" s="35">
        <v>398</v>
      </c>
      <c r="J77" s="36">
        <v>344</v>
      </c>
      <c r="K77" s="37" t="s">
        <v>108</v>
      </c>
      <c r="L77" s="36">
        <v>122</v>
      </c>
      <c r="M77" s="36">
        <v>198</v>
      </c>
      <c r="N77" s="35">
        <v>2.0110000000000001</v>
      </c>
      <c r="O77" s="36">
        <v>14.39</v>
      </c>
      <c r="P77" s="35">
        <v>637200000</v>
      </c>
      <c r="Q77" s="36">
        <v>2896000</v>
      </c>
      <c r="R77" s="36">
        <v>3216000</v>
      </c>
      <c r="S77" s="72">
        <v>189.20000000000002</v>
      </c>
      <c r="T77" s="86">
        <v>6578</v>
      </c>
      <c r="U77" s="35">
        <v>94650000</v>
      </c>
      <c r="V77" s="36">
        <v>631000</v>
      </c>
      <c r="W77" s="36">
        <v>965500</v>
      </c>
      <c r="X77" s="36">
        <v>72.900000000000006</v>
      </c>
      <c r="Y77" s="35">
        <v>85.13</v>
      </c>
      <c r="Z77" s="36">
        <v>2438000</v>
      </c>
      <c r="AA77" s="36">
        <v>4148000000000</v>
      </c>
      <c r="AB77" s="35">
        <v>1</v>
      </c>
      <c r="AC77" s="36">
        <v>1</v>
      </c>
      <c r="AD77" s="36">
        <v>1</v>
      </c>
      <c r="AE77" s="35">
        <v>1</v>
      </c>
      <c r="AF77" s="36">
        <v>2</v>
      </c>
      <c r="AG77" s="36">
        <v>3</v>
      </c>
    </row>
    <row r="78" spans="1:33" x14ac:dyDescent="0.45">
      <c r="A78" s="33" t="s">
        <v>197</v>
      </c>
      <c r="B78" s="31">
        <v>171</v>
      </c>
      <c r="C78" s="30">
        <v>450</v>
      </c>
      <c r="D78" s="31">
        <v>300</v>
      </c>
      <c r="E78" s="31">
        <v>14</v>
      </c>
      <c r="F78" s="31">
        <v>26</v>
      </c>
      <c r="G78" s="31">
        <v>27</v>
      </c>
      <c r="H78" s="30">
        <v>21800</v>
      </c>
      <c r="I78" s="30">
        <v>398</v>
      </c>
      <c r="J78" s="31">
        <v>344</v>
      </c>
      <c r="K78" s="32" t="s">
        <v>110</v>
      </c>
      <c r="L78" s="31">
        <v>124</v>
      </c>
      <c r="M78" s="31">
        <v>198</v>
      </c>
      <c r="N78" s="30">
        <v>2.0259999999999998</v>
      </c>
      <c r="O78" s="31">
        <v>11.84</v>
      </c>
      <c r="P78" s="30">
        <v>798900000</v>
      </c>
      <c r="Q78" s="31">
        <v>3551000</v>
      </c>
      <c r="R78" s="31">
        <v>3982000</v>
      </c>
      <c r="S78" s="70">
        <v>191.4</v>
      </c>
      <c r="T78" s="84">
        <v>7966</v>
      </c>
      <c r="U78" s="30">
        <v>117200000</v>
      </c>
      <c r="V78" s="31">
        <v>781400</v>
      </c>
      <c r="W78" s="31">
        <v>1198000</v>
      </c>
      <c r="X78" s="31">
        <v>73.3</v>
      </c>
      <c r="Y78" s="30">
        <v>97.63</v>
      </c>
      <c r="Z78" s="31">
        <v>4405000</v>
      </c>
      <c r="AA78" s="31">
        <v>5258000000000</v>
      </c>
      <c r="AB78" s="30">
        <v>1</v>
      </c>
      <c r="AC78" s="31">
        <v>1</v>
      </c>
      <c r="AD78" s="31">
        <v>1</v>
      </c>
      <c r="AE78" s="30">
        <v>1</v>
      </c>
      <c r="AF78" s="31">
        <v>1</v>
      </c>
      <c r="AG78" s="31">
        <v>2</v>
      </c>
    </row>
    <row r="79" spans="1:33" x14ac:dyDescent="0.45">
      <c r="A79" s="40" t="s">
        <v>198</v>
      </c>
      <c r="B79" s="36">
        <v>263</v>
      </c>
      <c r="C79" s="35">
        <v>478</v>
      </c>
      <c r="D79" s="36">
        <v>307</v>
      </c>
      <c r="E79" s="36">
        <v>21</v>
      </c>
      <c r="F79" s="36">
        <v>40</v>
      </c>
      <c r="G79" s="36">
        <v>27</v>
      </c>
      <c r="H79" s="35">
        <v>33540</v>
      </c>
      <c r="I79" s="35">
        <v>398</v>
      </c>
      <c r="J79" s="36">
        <v>344</v>
      </c>
      <c r="K79" s="37" t="s">
        <v>108</v>
      </c>
      <c r="L79" s="36">
        <v>132</v>
      </c>
      <c r="M79" s="36">
        <v>202</v>
      </c>
      <c r="N79" s="35">
        <v>2.0960000000000001</v>
      </c>
      <c r="O79" s="36">
        <v>7.9589999999999996</v>
      </c>
      <c r="P79" s="35">
        <v>1315000000</v>
      </c>
      <c r="Q79" s="36">
        <v>5501000</v>
      </c>
      <c r="R79" s="36">
        <v>6331000</v>
      </c>
      <c r="S79" s="72">
        <v>198</v>
      </c>
      <c r="T79" s="86">
        <v>11980</v>
      </c>
      <c r="U79" s="35">
        <v>193400000</v>
      </c>
      <c r="V79" s="36">
        <v>1260000</v>
      </c>
      <c r="W79" s="36">
        <v>1939000</v>
      </c>
      <c r="X79" s="36">
        <v>75.900000000000006</v>
      </c>
      <c r="Y79" s="35">
        <v>132.6</v>
      </c>
      <c r="Z79" s="36">
        <v>15290000</v>
      </c>
      <c r="AA79" s="36">
        <v>9251000000000</v>
      </c>
      <c r="AB79" s="35">
        <v>1</v>
      </c>
      <c r="AC79" s="36">
        <v>1</v>
      </c>
      <c r="AD79" s="36">
        <v>1</v>
      </c>
      <c r="AE79" s="35">
        <v>1</v>
      </c>
      <c r="AF79" s="36">
        <v>1</v>
      </c>
      <c r="AG79" s="36">
        <v>1</v>
      </c>
    </row>
    <row r="80" spans="1:33" x14ac:dyDescent="0.45">
      <c r="A80" s="40" t="s">
        <v>199</v>
      </c>
      <c r="B80" s="36">
        <v>107</v>
      </c>
      <c r="C80" s="35">
        <v>472</v>
      </c>
      <c r="D80" s="36">
        <v>300</v>
      </c>
      <c r="E80" s="36">
        <v>10.5</v>
      </c>
      <c r="F80" s="36">
        <v>14</v>
      </c>
      <c r="G80" s="36">
        <v>27</v>
      </c>
      <c r="H80" s="35">
        <v>13690</v>
      </c>
      <c r="I80" s="35">
        <v>444</v>
      </c>
      <c r="J80" s="36">
        <v>390</v>
      </c>
      <c r="K80" s="37" t="s">
        <v>108</v>
      </c>
      <c r="L80" s="36">
        <v>120</v>
      </c>
      <c r="M80" s="36">
        <v>198</v>
      </c>
      <c r="N80" s="35">
        <v>2.077</v>
      </c>
      <c r="O80" s="36">
        <v>19.329999999999998</v>
      </c>
      <c r="P80" s="35">
        <v>546400000</v>
      </c>
      <c r="Q80" s="36">
        <v>2315000</v>
      </c>
      <c r="R80" s="36">
        <v>2576000</v>
      </c>
      <c r="S80" s="72">
        <v>199.8</v>
      </c>
      <c r="T80" s="86">
        <v>6191</v>
      </c>
      <c r="U80" s="35">
        <v>63140000</v>
      </c>
      <c r="V80" s="36">
        <v>420900</v>
      </c>
      <c r="W80" s="36">
        <v>649300</v>
      </c>
      <c r="X80" s="36">
        <v>67.900000000000006</v>
      </c>
      <c r="Y80" s="35">
        <v>70.13</v>
      </c>
      <c r="Z80" s="36">
        <v>1077000</v>
      </c>
      <c r="AA80" s="36">
        <v>3304000000000</v>
      </c>
      <c r="AB80" s="35">
        <v>1</v>
      </c>
      <c r="AC80" s="36">
        <v>3</v>
      </c>
      <c r="AD80" s="36">
        <v>3</v>
      </c>
      <c r="AE80" s="35">
        <v>2</v>
      </c>
      <c r="AF80" s="36">
        <v>4</v>
      </c>
      <c r="AG80" s="36">
        <v>4</v>
      </c>
    </row>
    <row r="81" spans="1:33" x14ac:dyDescent="0.45">
      <c r="A81" s="33" t="s">
        <v>200</v>
      </c>
      <c r="B81" s="31">
        <v>155</v>
      </c>
      <c r="C81" s="30">
        <v>490</v>
      </c>
      <c r="D81" s="31">
        <v>300</v>
      </c>
      <c r="E81" s="31">
        <v>12</v>
      </c>
      <c r="F81" s="31">
        <v>23</v>
      </c>
      <c r="G81" s="31">
        <v>27</v>
      </c>
      <c r="H81" s="30">
        <v>19750</v>
      </c>
      <c r="I81" s="30">
        <v>444</v>
      </c>
      <c r="J81" s="31">
        <v>390</v>
      </c>
      <c r="K81" s="32" t="s">
        <v>110</v>
      </c>
      <c r="L81" s="31">
        <v>122</v>
      </c>
      <c r="M81" s="31">
        <v>198</v>
      </c>
      <c r="N81" s="30">
        <v>2.11</v>
      </c>
      <c r="O81" s="31">
        <v>13.6</v>
      </c>
      <c r="P81" s="30">
        <v>869700000</v>
      </c>
      <c r="Q81" s="31">
        <v>3550000</v>
      </c>
      <c r="R81" s="31">
        <v>3949000</v>
      </c>
      <c r="S81" s="70">
        <v>209.8</v>
      </c>
      <c r="T81" s="84">
        <v>7472</v>
      </c>
      <c r="U81" s="30">
        <v>103700000</v>
      </c>
      <c r="V81" s="31">
        <v>691100</v>
      </c>
      <c r="W81" s="31">
        <v>1059000</v>
      </c>
      <c r="X81" s="31">
        <v>72.400000000000006</v>
      </c>
      <c r="Y81" s="30">
        <v>89.63</v>
      </c>
      <c r="Z81" s="31">
        <v>3093000</v>
      </c>
      <c r="AA81" s="31">
        <v>5643000000000</v>
      </c>
      <c r="AB81" s="30">
        <v>1</v>
      </c>
      <c r="AC81" s="31">
        <v>1</v>
      </c>
      <c r="AD81" s="31">
        <v>1</v>
      </c>
      <c r="AE81" s="30">
        <v>1</v>
      </c>
      <c r="AF81" s="31">
        <v>3</v>
      </c>
      <c r="AG81" s="31">
        <v>4</v>
      </c>
    </row>
    <row r="82" spans="1:33" x14ac:dyDescent="0.45">
      <c r="A82" s="40" t="s">
        <v>201</v>
      </c>
      <c r="B82" s="36">
        <v>187</v>
      </c>
      <c r="C82" s="35">
        <v>500</v>
      </c>
      <c r="D82" s="36">
        <v>300</v>
      </c>
      <c r="E82" s="36">
        <v>14.5</v>
      </c>
      <c r="F82" s="36">
        <v>28</v>
      </c>
      <c r="G82" s="36">
        <v>27</v>
      </c>
      <c r="H82" s="35">
        <v>23860</v>
      </c>
      <c r="I82" s="35">
        <v>444</v>
      </c>
      <c r="J82" s="36">
        <v>390</v>
      </c>
      <c r="K82" s="37" t="s">
        <v>108</v>
      </c>
      <c r="L82" s="36">
        <v>124</v>
      </c>
      <c r="M82" s="36">
        <v>198</v>
      </c>
      <c r="N82" s="35">
        <v>2.125</v>
      </c>
      <c r="O82" s="36">
        <v>11.34</v>
      </c>
      <c r="P82" s="35">
        <v>1072000000</v>
      </c>
      <c r="Q82" s="36">
        <v>4287000</v>
      </c>
      <c r="R82" s="36">
        <v>4815000</v>
      </c>
      <c r="S82" s="72">
        <v>211.9</v>
      </c>
      <c r="T82" s="86">
        <v>8982</v>
      </c>
      <c r="U82" s="35">
        <v>126200000</v>
      </c>
      <c r="V82" s="36">
        <v>841600</v>
      </c>
      <c r="W82" s="36">
        <v>1292000</v>
      </c>
      <c r="X82" s="36">
        <v>72.699999999999989</v>
      </c>
      <c r="Y82" s="35">
        <v>102.1</v>
      </c>
      <c r="Z82" s="36">
        <v>5384000</v>
      </c>
      <c r="AA82" s="36">
        <v>7018000000000</v>
      </c>
      <c r="AB82" s="35">
        <v>1</v>
      </c>
      <c r="AC82" s="36">
        <v>1</v>
      </c>
      <c r="AD82" s="36">
        <v>1</v>
      </c>
      <c r="AE82" s="35">
        <v>1</v>
      </c>
      <c r="AF82" s="36">
        <v>2</v>
      </c>
      <c r="AG82" s="36">
        <v>2</v>
      </c>
    </row>
    <row r="83" spans="1:33" x14ac:dyDescent="0.45">
      <c r="A83" s="33" t="s">
        <v>202</v>
      </c>
      <c r="B83" s="31">
        <v>270</v>
      </c>
      <c r="C83" s="30">
        <v>524</v>
      </c>
      <c r="D83" s="31">
        <v>306</v>
      </c>
      <c r="E83" s="31">
        <v>21</v>
      </c>
      <c r="F83" s="31">
        <v>40</v>
      </c>
      <c r="G83" s="31">
        <v>27</v>
      </c>
      <c r="H83" s="30">
        <v>34430</v>
      </c>
      <c r="I83" s="30">
        <v>444</v>
      </c>
      <c r="J83" s="31">
        <v>390</v>
      </c>
      <c r="K83" s="32" t="s">
        <v>110</v>
      </c>
      <c r="L83" s="31">
        <v>132</v>
      </c>
      <c r="M83" s="31">
        <v>202</v>
      </c>
      <c r="N83" s="30">
        <v>2.1840000000000002</v>
      </c>
      <c r="O83" s="31">
        <v>8.0790000000000006</v>
      </c>
      <c r="P83" s="30">
        <v>1619000000</v>
      </c>
      <c r="Q83" s="31">
        <v>6180000</v>
      </c>
      <c r="R83" s="31">
        <v>7094000</v>
      </c>
      <c r="S83" s="70">
        <v>216.9</v>
      </c>
      <c r="T83" s="84">
        <v>12950</v>
      </c>
      <c r="U83" s="30">
        <v>191500000</v>
      </c>
      <c r="V83" s="31">
        <v>1252000</v>
      </c>
      <c r="W83" s="31">
        <v>1932000</v>
      </c>
      <c r="X83" s="31">
        <v>74.599999999999994</v>
      </c>
      <c r="Y83" s="30">
        <v>132.6</v>
      </c>
      <c r="Z83" s="31">
        <v>15390000</v>
      </c>
      <c r="AA83" s="31">
        <v>11190000000000</v>
      </c>
      <c r="AB83" s="30">
        <v>1</v>
      </c>
      <c r="AC83" s="31">
        <v>1</v>
      </c>
      <c r="AD83" s="31">
        <v>1</v>
      </c>
      <c r="AE83" s="30">
        <v>1</v>
      </c>
      <c r="AF83" s="31">
        <v>1</v>
      </c>
      <c r="AG83" s="31">
        <v>1</v>
      </c>
    </row>
    <row r="84" spans="1:33" x14ac:dyDescent="0.45">
      <c r="A84" s="43" t="s">
        <v>203</v>
      </c>
      <c r="B84" s="31">
        <v>120</v>
      </c>
      <c r="C84" s="30">
        <v>522</v>
      </c>
      <c r="D84" s="31">
        <v>300</v>
      </c>
      <c r="E84" s="31">
        <v>11.5</v>
      </c>
      <c r="F84" s="31">
        <v>15</v>
      </c>
      <c r="G84" s="31">
        <v>27</v>
      </c>
      <c r="H84" s="30">
        <v>15280.000000000002</v>
      </c>
      <c r="I84" s="30">
        <v>492</v>
      </c>
      <c r="J84" s="31">
        <v>438</v>
      </c>
      <c r="K84" s="32" t="s">
        <v>110</v>
      </c>
      <c r="L84" s="31">
        <v>122</v>
      </c>
      <c r="M84" s="31">
        <v>198</v>
      </c>
      <c r="N84" s="30">
        <v>2.1749999999999998</v>
      </c>
      <c r="O84" s="31">
        <v>18.13</v>
      </c>
      <c r="P84" s="30">
        <v>728700000</v>
      </c>
      <c r="Q84" s="31">
        <v>2792000</v>
      </c>
      <c r="R84" s="31">
        <v>3128000</v>
      </c>
      <c r="S84" s="70">
        <v>218.4</v>
      </c>
      <c r="T84" s="84">
        <v>7266</v>
      </c>
      <c r="U84" s="30">
        <v>67670000</v>
      </c>
      <c r="V84" s="31">
        <v>451100</v>
      </c>
      <c r="W84" s="31">
        <v>698600</v>
      </c>
      <c r="X84" s="31">
        <v>66.5</v>
      </c>
      <c r="Y84" s="30">
        <v>73.13</v>
      </c>
      <c r="Z84" s="31">
        <v>1337000</v>
      </c>
      <c r="AA84" s="31">
        <v>4338000000000</v>
      </c>
      <c r="AB84" s="30">
        <v>1</v>
      </c>
      <c r="AC84" s="31">
        <v>2</v>
      </c>
      <c r="AD84" s="31">
        <v>3</v>
      </c>
      <c r="AE84" s="30">
        <v>3</v>
      </c>
      <c r="AF84" s="31">
        <v>4</v>
      </c>
      <c r="AG84" s="31">
        <v>4</v>
      </c>
    </row>
    <row r="85" spans="1:33" x14ac:dyDescent="0.45">
      <c r="A85" s="40" t="s">
        <v>204</v>
      </c>
      <c r="B85" s="36">
        <v>166</v>
      </c>
      <c r="C85" s="35">
        <v>540</v>
      </c>
      <c r="D85" s="36">
        <v>300</v>
      </c>
      <c r="E85" s="36">
        <v>12.5</v>
      </c>
      <c r="F85" s="36">
        <v>24</v>
      </c>
      <c r="G85" s="36">
        <v>27</v>
      </c>
      <c r="H85" s="35">
        <v>21180</v>
      </c>
      <c r="I85" s="35">
        <v>492</v>
      </c>
      <c r="J85" s="36">
        <v>438</v>
      </c>
      <c r="K85" s="37" t="s">
        <v>108</v>
      </c>
      <c r="L85" s="36">
        <v>122</v>
      </c>
      <c r="M85" s="36">
        <v>198</v>
      </c>
      <c r="N85" s="35">
        <v>2.2090000000000001</v>
      </c>
      <c r="O85" s="36">
        <v>13.29</v>
      </c>
      <c r="P85" s="35">
        <v>1119000000</v>
      </c>
      <c r="Q85" s="36">
        <v>4146000</v>
      </c>
      <c r="R85" s="36">
        <v>4622000</v>
      </c>
      <c r="S85" s="72">
        <v>229.89999999999998</v>
      </c>
      <c r="T85" s="86">
        <v>8372</v>
      </c>
      <c r="U85" s="35">
        <v>108200000</v>
      </c>
      <c r="V85" s="36">
        <v>721300</v>
      </c>
      <c r="W85" s="36">
        <v>1107000</v>
      </c>
      <c r="X85" s="36">
        <v>71.5</v>
      </c>
      <c r="Y85" s="35">
        <v>92.13</v>
      </c>
      <c r="Z85" s="36">
        <v>3515000</v>
      </c>
      <c r="AA85" s="36">
        <v>7189000000000</v>
      </c>
      <c r="AB85" s="35">
        <v>1</v>
      </c>
      <c r="AC85" s="36">
        <v>1</v>
      </c>
      <c r="AD85" s="36">
        <v>1</v>
      </c>
      <c r="AE85" s="35">
        <v>2</v>
      </c>
      <c r="AF85" s="36">
        <v>4</v>
      </c>
      <c r="AG85" s="36">
        <v>4</v>
      </c>
    </row>
    <row r="86" spans="1:33" x14ac:dyDescent="0.45">
      <c r="A86" s="33" t="s">
        <v>205</v>
      </c>
      <c r="B86" s="31">
        <v>199</v>
      </c>
      <c r="C86" s="30">
        <v>550</v>
      </c>
      <c r="D86" s="31">
        <v>300</v>
      </c>
      <c r="E86" s="31">
        <v>15</v>
      </c>
      <c r="F86" s="31">
        <v>29</v>
      </c>
      <c r="G86" s="31">
        <v>27</v>
      </c>
      <c r="H86" s="30">
        <v>25410</v>
      </c>
      <c r="I86" s="30">
        <v>492</v>
      </c>
      <c r="J86" s="31">
        <v>438</v>
      </c>
      <c r="K86" s="32" t="s">
        <v>110</v>
      </c>
      <c r="L86" s="31">
        <v>124</v>
      </c>
      <c r="M86" s="31">
        <v>198</v>
      </c>
      <c r="N86" s="30">
        <v>2.2240000000000002</v>
      </c>
      <c r="O86" s="31">
        <v>11.15</v>
      </c>
      <c r="P86" s="30">
        <v>1367000000</v>
      </c>
      <c r="Q86" s="31">
        <v>4971000</v>
      </c>
      <c r="R86" s="31">
        <v>5591000</v>
      </c>
      <c r="S86" s="70">
        <v>232</v>
      </c>
      <c r="T86" s="84">
        <v>10010</v>
      </c>
      <c r="U86" s="30">
        <v>130800000</v>
      </c>
      <c r="V86" s="31">
        <v>871800</v>
      </c>
      <c r="W86" s="31">
        <v>1341000</v>
      </c>
      <c r="X86" s="31">
        <v>71.7</v>
      </c>
      <c r="Y86" s="30">
        <v>104.6</v>
      </c>
      <c r="Z86" s="31">
        <v>6003000</v>
      </c>
      <c r="AA86" s="31">
        <v>8856000000000</v>
      </c>
      <c r="AB86" s="30">
        <v>1</v>
      </c>
      <c r="AC86" s="31">
        <v>1</v>
      </c>
      <c r="AD86" s="31">
        <v>1</v>
      </c>
      <c r="AE86" s="30">
        <v>1</v>
      </c>
      <c r="AF86" s="31">
        <v>2</v>
      </c>
      <c r="AG86" s="31">
        <v>3</v>
      </c>
    </row>
    <row r="87" spans="1:33" x14ac:dyDescent="0.45">
      <c r="A87" s="40" t="s">
        <v>206</v>
      </c>
      <c r="B87" s="36">
        <v>278</v>
      </c>
      <c r="C87" s="35">
        <v>572</v>
      </c>
      <c r="D87" s="36">
        <v>306</v>
      </c>
      <c r="E87" s="36">
        <v>21</v>
      </c>
      <c r="F87" s="36">
        <v>40</v>
      </c>
      <c r="G87" s="36">
        <v>27</v>
      </c>
      <c r="H87" s="35">
        <v>35440</v>
      </c>
      <c r="I87" s="35">
        <v>492</v>
      </c>
      <c r="J87" s="36">
        <v>438</v>
      </c>
      <c r="K87" s="37" t="s">
        <v>108</v>
      </c>
      <c r="L87" s="36">
        <v>132</v>
      </c>
      <c r="M87" s="36">
        <v>202</v>
      </c>
      <c r="N87" s="35">
        <v>2.2799999999999998</v>
      </c>
      <c r="O87" s="36">
        <v>8.1950000000000003</v>
      </c>
      <c r="P87" s="35">
        <v>1980000000</v>
      </c>
      <c r="Q87" s="36">
        <v>6923000</v>
      </c>
      <c r="R87" s="36">
        <v>7933000</v>
      </c>
      <c r="S87" s="72">
        <v>236.4</v>
      </c>
      <c r="T87" s="86">
        <v>13960</v>
      </c>
      <c r="U87" s="35">
        <v>191600000</v>
      </c>
      <c r="V87" s="36">
        <v>1252000</v>
      </c>
      <c r="W87" s="36">
        <v>1937000</v>
      </c>
      <c r="X87" s="36">
        <v>73.5</v>
      </c>
      <c r="Y87" s="35">
        <v>132.6</v>
      </c>
      <c r="Z87" s="36">
        <v>15540000</v>
      </c>
      <c r="AA87" s="36">
        <v>13520000000000</v>
      </c>
      <c r="AB87" s="35">
        <v>1</v>
      </c>
      <c r="AC87" s="36">
        <v>1</v>
      </c>
      <c r="AD87" s="36">
        <v>1</v>
      </c>
      <c r="AE87" s="35">
        <v>1</v>
      </c>
      <c r="AF87" s="36">
        <v>1</v>
      </c>
      <c r="AG87" s="36">
        <v>1</v>
      </c>
    </row>
    <row r="88" spans="1:33" x14ac:dyDescent="0.45">
      <c r="A88" s="40" t="s">
        <v>207</v>
      </c>
      <c r="B88" s="36">
        <v>129</v>
      </c>
      <c r="C88" s="35">
        <v>571</v>
      </c>
      <c r="D88" s="36">
        <v>300</v>
      </c>
      <c r="E88" s="36">
        <v>12</v>
      </c>
      <c r="F88" s="36">
        <v>15.5</v>
      </c>
      <c r="G88" s="36">
        <v>27</v>
      </c>
      <c r="H88" s="35">
        <v>16410</v>
      </c>
      <c r="I88" s="35">
        <v>540</v>
      </c>
      <c r="J88" s="36">
        <v>486</v>
      </c>
      <c r="K88" s="37" t="s">
        <v>108</v>
      </c>
      <c r="L88" s="36">
        <v>122</v>
      </c>
      <c r="M88" s="36">
        <v>198</v>
      </c>
      <c r="N88" s="35">
        <v>2.2719999999999998</v>
      </c>
      <c r="O88" s="36">
        <v>17.64</v>
      </c>
      <c r="P88" s="35">
        <v>919000000</v>
      </c>
      <c r="Q88" s="36">
        <v>3218000</v>
      </c>
      <c r="R88" s="36">
        <v>3623000</v>
      </c>
      <c r="S88" s="72">
        <v>236.6</v>
      </c>
      <c r="T88" s="86">
        <v>8129.0000000000009</v>
      </c>
      <c r="U88" s="35">
        <v>69930000</v>
      </c>
      <c r="V88" s="36">
        <v>466200</v>
      </c>
      <c r="W88" s="36">
        <v>724500</v>
      </c>
      <c r="X88" s="36">
        <v>65.3</v>
      </c>
      <c r="Y88" s="35">
        <v>74.63</v>
      </c>
      <c r="Z88" s="36">
        <v>1498000</v>
      </c>
      <c r="AA88" s="36">
        <v>5381000000000</v>
      </c>
      <c r="AB88" s="35">
        <v>1</v>
      </c>
      <c r="AC88" s="36">
        <v>2</v>
      </c>
      <c r="AD88" s="36">
        <v>3</v>
      </c>
      <c r="AE88" s="35">
        <v>3</v>
      </c>
      <c r="AF88" s="36">
        <v>4</v>
      </c>
      <c r="AG88" s="36">
        <v>4</v>
      </c>
    </row>
    <row r="89" spans="1:33" x14ac:dyDescent="0.45">
      <c r="A89" s="33" t="s">
        <v>208</v>
      </c>
      <c r="B89" s="31">
        <v>178</v>
      </c>
      <c r="C89" s="30">
        <v>590</v>
      </c>
      <c r="D89" s="31">
        <v>300</v>
      </c>
      <c r="E89" s="31">
        <v>13</v>
      </c>
      <c r="F89" s="31">
        <v>25</v>
      </c>
      <c r="G89" s="31">
        <v>27</v>
      </c>
      <c r="H89" s="30">
        <v>22650</v>
      </c>
      <c r="I89" s="30">
        <v>540</v>
      </c>
      <c r="J89" s="31">
        <v>486</v>
      </c>
      <c r="K89" s="32" t="s">
        <v>110</v>
      </c>
      <c r="L89" s="31">
        <v>122</v>
      </c>
      <c r="M89" s="31">
        <v>198</v>
      </c>
      <c r="N89" s="30">
        <v>2.3079999999999998</v>
      </c>
      <c r="O89" s="31">
        <v>12.98</v>
      </c>
      <c r="P89" s="30">
        <v>1412000000</v>
      </c>
      <c r="Q89" s="31">
        <v>4787000</v>
      </c>
      <c r="R89" s="31">
        <v>5350000</v>
      </c>
      <c r="S89" s="70">
        <v>249.7</v>
      </c>
      <c r="T89" s="84">
        <v>9321</v>
      </c>
      <c r="U89" s="30">
        <v>112700000</v>
      </c>
      <c r="V89" s="31">
        <v>751400</v>
      </c>
      <c r="W89" s="31">
        <v>1156000</v>
      </c>
      <c r="X89" s="31">
        <v>70.5</v>
      </c>
      <c r="Y89" s="30">
        <v>94.63</v>
      </c>
      <c r="Z89" s="31">
        <v>3978000</v>
      </c>
      <c r="AA89" s="31">
        <v>8978000000000</v>
      </c>
      <c r="AB89" s="30">
        <v>1</v>
      </c>
      <c r="AC89" s="31">
        <v>1</v>
      </c>
      <c r="AD89" s="31">
        <v>1</v>
      </c>
      <c r="AE89" s="30">
        <v>2</v>
      </c>
      <c r="AF89" s="31">
        <v>4</v>
      </c>
      <c r="AG89" s="31">
        <v>4</v>
      </c>
    </row>
    <row r="90" spans="1:33" x14ac:dyDescent="0.45">
      <c r="A90" s="40" t="s">
        <v>209</v>
      </c>
      <c r="B90" s="36">
        <v>212</v>
      </c>
      <c r="C90" s="35">
        <v>600</v>
      </c>
      <c r="D90" s="36">
        <v>300</v>
      </c>
      <c r="E90" s="36">
        <v>15.5</v>
      </c>
      <c r="F90" s="36">
        <v>30</v>
      </c>
      <c r="G90" s="36">
        <v>27</v>
      </c>
      <c r="H90" s="35">
        <v>27000</v>
      </c>
      <c r="I90" s="35">
        <v>540</v>
      </c>
      <c r="J90" s="36">
        <v>486</v>
      </c>
      <c r="K90" s="37" t="s">
        <v>108</v>
      </c>
      <c r="L90" s="36">
        <v>126</v>
      </c>
      <c r="M90" s="36">
        <v>198</v>
      </c>
      <c r="N90" s="35">
        <v>2.323</v>
      </c>
      <c r="O90" s="36">
        <v>10.96</v>
      </c>
      <c r="P90" s="35">
        <v>1710000000</v>
      </c>
      <c r="Q90" s="36">
        <v>5701000</v>
      </c>
      <c r="R90" s="36">
        <v>6425000</v>
      </c>
      <c r="S90" s="72">
        <v>251.70000000000002</v>
      </c>
      <c r="T90" s="86">
        <v>11080</v>
      </c>
      <c r="U90" s="35">
        <v>135300000</v>
      </c>
      <c r="V90" s="36">
        <v>902000</v>
      </c>
      <c r="W90" s="36">
        <v>1391000</v>
      </c>
      <c r="X90" s="36">
        <v>70.8</v>
      </c>
      <c r="Y90" s="35">
        <v>107.1</v>
      </c>
      <c r="Z90" s="36">
        <v>6672000</v>
      </c>
      <c r="AA90" s="36">
        <v>10970000000000</v>
      </c>
      <c r="AB90" s="35">
        <v>1</v>
      </c>
      <c r="AC90" s="36">
        <v>1</v>
      </c>
      <c r="AD90" s="36">
        <v>1</v>
      </c>
      <c r="AE90" s="35">
        <v>1</v>
      </c>
      <c r="AF90" s="36">
        <v>3</v>
      </c>
      <c r="AG90" s="36">
        <v>4</v>
      </c>
    </row>
    <row r="91" spans="1:33" x14ac:dyDescent="0.45">
      <c r="A91" s="33" t="s">
        <v>210</v>
      </c>
      <c r="B91" s="31">
        <v>285</v>
      </c>
      <c r="C91" s="30">
        <v>620</v>
      </c>
      <c r="D91" s="31">
        <v>305</v>
      </c>
      <c r="E91" s="31">
        <v>21</v>
      </c>
      <c r="F91" s="31">
        <v>40</v>
      </c>
      <c r="G91" s="31">
        <v>27</v>
      </c>
      <c r="H91" s="30">
        <v>36370</v>
      </c>
      <c r="I91" s="30">
        <v>540</v>
      </c>
      <c r="J91" s="31">
        <v>486</v>
      </c>
      <c r="K91" s="32" t="s">
        <v>110</v>
      </c>
      <c r="L91" s="31">
        <v>132</v>
      </c>
      <c r="M91" s="31">
        <v>200</v>
      </c>
      <c r="N91" s="30">
        <v>2.3719999999999999</v>
      </c>
      <c r="O91" s="31">
        <v>8.3079999999999998</v>
      </c>
      <c r="P91" s="30">
        <v>2374000000</v>
      </c>
      <c r="Q91" s="31">
        <v>7660000</v>
      </c>
      <c r="R91" s="31">
        <v>8772000</v>
      </c>
      <c r="S91" s="70">
        <v>255.5</v>
      </c>
      <c r="T91" s="84">
        <v>14969.999999999998</v>
      </c>
      <c r="U91" s="30">
        <v>189800000</v>
      </c>
      <c r="V91" s="31">
        <v>1244000</v>
      </c>
      <c r="W91" s="31">
        <v>1930000</v>
      </c>
      <c r="X91" s="31">
        <v>72.2</v>
      </c>
      <c r="Y91" s="30">
        <v>132.6</v>
      </c>
      <c r="Z91" s="31">
        <v>15640000</v>
      </c>
      <c r="AA91" s="31">
        <v>15910000000000</v>
      </c>
      <c r="AB91" s="30">
        <v>1</v>
      </c>
      <c r="AC91" s="31">
        <v>1</v>
      </c>
      <c r="AD91" s="31">
        <v>1</v>
      </c>
      <c r="AE91" s="30">
        <v>1</v>
      </c>
      <c r="AF91" s="31">
        <v>1</v>
      </c>
      <c r="AG91" s="31">
        <v>1</v>
      </c>
    </row>
    <row r="92" spans="1:33" x14ac:dyDescent="0.45">
      <c r="A92" s="40" t="s">
        <v>211</v>
      </c>
      <c r="B92" s="36">
        <v>337</v>
      </c>
      <c r="C92" s="35">
        <v>632</v>
      </c>
      <c r="D92" s="36">
        <v>310</v>
      </c>
      <c r="E92" s="36">
        <v>25.5</v>
      </c>
      <c r="F92" s="36">
        <v>46</v>
      </c>
      <c r="G92" s="36">
        <v>27</v>
      </c>
      <c r="H92" s="35">
        <v>42920</v>
      </c>
      <c r="I92" s="35">
        <v>540</v>
      </c>
      <c r="J92" s="36">
        <v>486</v>
      </c>
      <c r="K92" s="37" t="s">
        <v>108</v>
      </c>
      <c r="L92" s="36">
        <v>138</v>
      </c>
      <c r="M92" s="36">
        <v>202</v>
      </c>
      <c r="N92" s="35">
        <v>2.407</v>
      </c>
      <c r="O92" s="36">
        <v>7.1440000000000001</v>
      </c>
      <c r="P92" s="35">
        <v>2832000000</v>
      </c>
      <c r="Q92" s="36">
        <v>8961000</v>
      </c>
      <c r="R92" s="36">
        <v>10380000</v>
      </c>
      <c r="S92" s="72">
        <v>256.90000000000003</v>
      </c>
      <c r="T92" s="86">
        <v>18050</v>
      </c>
      <c r="U92" s="35">
        <v>229400000</v>
      </c>
      <c r="V92" s="36">
        <v>1480000</v>
      </c>
      <c r="W92" s="36">
        <v>2310000</v>
      </c>
      <c r="X92" s="36">
        <v>73.099999999999994</v>
      </c>
      <c r="Y92" s="35">
        <v>149.1</v>
      </c>
      <c r="Z92" s="36">
        <v>24510000</v>
      </c>
      <c r="AA92" s="36">
        <v>19610000000000</v>
      </c>
      <c r="AB92" s="35">
        <v>1</v>
      </c>
      <c r="AC92" s="36">
        <v>1</v>
      </c>
      <c r="AD92" s="36">
        <v>1</v>
      </c>
      <c r="AE92" s="35">
        <v>1</v>
      </c>
      <c r="AF92" s="36">
        <v>1</v>
      </c>
      <c r="AG92" s="36">
        <v>1</v>
      </c>
    </row>
    <row r="93" spans="1:33" x14ac:dyDescent="0.45">
      <c r="A93" s="44" t="s">
        <v>212</v>
      </c>
      <c r="B93" s="42">
        <v>399</v>
      </c>
      <c r="C93" s="41">
        <v>648</v>
      </c>
      <c r="D93" s="42">
        <v>315</v>
      </c>
      <c r="E93" s="42">
        <v>30</v>
      </c>
      <c r="F93" s="42">
        <v>54</v>
      </c>
      <c r="G93" s="42">
        <v>27</v>
      </c>
      <c r="H93" s="41">
        <v>50850</v>
      </c>
      <c r="I93" s="41">
        <v>540</v>
      </c>
      <c r="J93" s="42">
        <v>486</v>
      </c>
      <c r="K93" s="45" t="s">
        <v>110</v>
      </c>
      <c r="L93" s="42">
        <v>142</v>
      </c>
      <c r="M93" s="42">
        <v>208</v>
      </c>
      <c r="N93" s="41">
        <v>2.4500000000000002</v>
      </c>
      <c r="O93" s="42">
        <v>6.1369999999999996</v>
      </c>
      <c r="P93" s="41">
        <v>3446000000</v>
      </c>
      <c r="Q93" s="42">
        <v>10640000</v>
      </c>
      <c r="R93" s="42">
        <v>12460000</v>
      </c>
      <c r="S93" s="89">
        <v>260.3</v>
      </c>
      <c r="T93" s="90">
        <v>21360</v>
      </c>
      <c r="U93" s="41">
        <v>282800000</v>
      </c>
      <c r="V93" s="42">
        <v>1796000</v>
      </c>
      <c r="W93" s="42">
        <v>2814000</v>
      </c>
      <c r="X93" s="42">
        <v>74.599999999999994</v>
      </c>
      <c r="Y93" s="41">
        <v>169.6</v>
      </c>
      <c r="Z93" s="42">
        <v>39660000</v>
      </c>
      <c r="AA93" s="42">
        <v>24810000000000</v>
      </c>
      <c r="AB93" s="41">
        <v>1</v>
      </c>
      <c r="AC93" s="42">
        <v>1</v>
      </c>
      <c r="AD93" s="42">
        <v>1</v>
      </c>
      <c r="AE93" s="41">
        <v>1</v>
      </c>
      <c r="AF93" s="42">
        <v>1</v>
      </c>
      <c r="AG93" s="42">
        <v>1</v>
      </c>
    </row>
    <row r="94" spans="1:33" x14ac:dyDescent="0.45">
      <c r="A94" s="29" t="s">
        <v>213</v>
      </c>
      <c r="B94" s="27">
        <v>138</v>
      </c>
      <c r="C94" s="26">
        <v>620</v>
      </c>
      <c r="D94" s="27">
        <v>300</v>
      </c>
      <c r="E94" s="27">
        <v>12.5</v>
      </c>
      <c r="F94" s="27">
        <v>16</v>
      </c>
      <c r="G94" s="27">
        <v>27</v>
      </c>
      <c r="H94" s="26">
        <v>17580</v>
      </c>
      <c r="I94" s="26">
        <v>588</v>
      </c>
      <c r="J94" s="27">
        <v>534</v>
      </c>
      <c r="K94" s="28" t="s">
        <v>108</v>
      </c>
      <c r="L94" s="27">
        <v>122</v>
      </c>
      <c r="M94" s="27">
        <v>198</v>
      </c>
      <c r="N94" s="26">
        <v>2.3690000000000002</v>
      </c>
      <c r="O94" s="27">
        <v>17.170000000000002</v>
      </c>
      <c r="P94" s="26">
        <v>1139000000</v>
      </c>
      <c r="Q94" s="27">
        <v>3676000</v>
      </c>
      <c r="R94" s="27">
        <v>4160000</v>
      </c>
      <c r="S94" s="68">
        <v>254.60000000000002</v>
      </c>
      <c r="T94" s="82">
        <v>9040</v>
      </c>
      <c r="U94" s="26">
        <v>72210000</v>
      </c>
      <c r="V94" s="27">
        <v>481400</v>
      </c>
      <c r="W94" s="27">
        <v>750700</v>
      </c>
      <c r="X94" s="27">
        <v>64.099999999999994</v>
      </c>
      <c r="Y94" s="26">
        <v>76.13</v>
      </c>
      <c r="Z94" s="27">
        <v>1675000</v>
      </c>
      <c r="AA94" s="27">
        <v>6567000000000</v>
      </c>
      <c r="AB94" s="26">
        <v>1</v>
      </c>
      <c r="AC94" s="27">
        <v>1</v>
      </c>
      <c r="AD94" s="27">
        <v>3</v>
      </c>
      <c r="AE94" s="26">
        <v>4</v>
      </c>
      <c r="AF94" s="27">
        <v>4</v>
      </c>
      <c r="AG94" s="27">
        <v>4</v>
      </c>
    </row>
    <row r="95" spans="1:33" x14ac:dyDescent="0.45">
      <c r="A95" s="33" t="s">
        <v>214</v>
      </c>
      <c r="B95" s="31">
        <v>190</v>
      </c>
      <c r="C95" s="30">
        <v>640</v>
      </c>
      <c r="D95" s="31">
        <v>300</v>
      </c>
      <c r="E95" s="31">
        <v>13.5</v>
      </c>
      <c r="F95" s="31">
        <v>26</v>
      </c>
      <c r="G95" s="31">
        <v>27</v>
      </c>
      <c r="H95" s="30">
        <v>24160</v>
      </c>
      <c r="I95" s="30">
        <v>588</v>
      </c>
      <c r="J95" s="31">
        <v>534</v>
      </c>
      <c r="K95" s="32" t="s">
        <v>110</v>
      </c>
      <c r="L95" s="31">
        <v>124</v>
      </c>
      <c r="M95" s="31">
        <v>198</v>
      </c>
      <c r="N95" s="30">
        <v>2.407</v>
      </c>
      <c r="O95" s="31">
        <v>12.69</v>
      </c>
      <c r="P95" s="30">
        <v>1752000000</v>
      </c>
      <c r="Q95" s="31">
        <v>5474000</v>
      </c>
      <c r="R95" s="31">
        <v>6136000</v>
      </c>
      <c r="S95" s="70">
        <v>269.3</v>
      </c>
      <c r="T95" s="84">
        <v>10320</v>
      </c>
      <c r="U95" s="30">
        <v>117200000</v>
      </c>
      <c r="V95" s="31">
        <v>781600</v>
      </c>
      <c r="W95" s="31">
        <v>1205000</v>
      </c>
      <c r="X95" s="31">
        <v>69.7</v>
      </c>
      <c r="Y95" s="30">
        <v>97.13</v>
      </c>
      <c r="Z95" s="31">
        <v>4483000</v>
      </c>
      <c r="AA95" s="31">
        <v>11030000000000</v>
      </c>
      <c r="AB95" s="30">
        <v>1</v>
      </c>
      <c r="AC95" s="31">
        <v>1</v>
      </c>
      <c r="AD95" s="31">
        <v>1</v>
      </c>
      <c r="AE95" s="30">
        <v>3</v>
      </c>
      <c r="AF95" s="31">
        <v>4</v>
      </c>
      <c r="AG95" s="31">
        <v>4</v>
      </c>
    </row>
    <row r="96" spans="1:33" x14ac:dyDescent="0.45">
      <c r="A96" s="40" t="s">
        <v>215</v>
      </c>
      <c r="B96" s="36">
        <v>225</v>
      </c>
      <c r="C96" s="35">
        <v>650</v>
      </c>
      <c r="D96" s="36">
        <v>300</v>
      </c>
      <c r="E96" s="36">
        <v>16</v>
      </c>
      <c r="F96" s="36">
        <v>31</v>
      </c>
      <c r="G96" s="36">
        <v>27</v>
      </c>
      <c r="H96" s="35">
        <v>28630</v>
      </c>
      <c r="I96" s="35">
        <v>588</v>
      </c>
      <c r="J96" s="36">
        <v>534</v>
      </c>
      <c r="K96" s="37" t="s">
        <v>108</v>
      </c>
      <c r="L96" s="36">
        <v>126</v>
      </c>
      <c r="M96" s="36">
        <v>198</v>
      </c>
      <c r="N96" s="35">
        <v>2.4220000000000002</v>
      </c>
      <c r="O96" s="36">
        <v>10.77</v>
      </c>
      <c r="P96" s="35">
        <v>2106000000</v>
      </c>
      <c r="Q96" s="36">
        <v>6480000</v>
      </c>
      <c r="R96" s="36">
        <v>7320000</v>
      </c>
      <c r="S96" s="72">
        <v>271.2</v>
      </c>
      <c r="T96" s="86">
        <v>12200</v>
      </c>
      <c r="U96" s="35">
        <v>139800000</v>
      </c>
      <c r="V96" s="36">
        <v>932300</v>
      </c>
      <c r="W96" s="36">
        <v>1441000</v>
      </c>
      <c r="X96" s="36">
        <v>69.900000000000006</v>
      </c>
      <c r="Y96" s="35">
        <v>109.6</v>
      </c>
      <c r="Z96" s="36">
        <v>7392000</v>
      </c>
      <c r="AA96" s="36">
        <v>13360000000000</v>
      </c>
      <c r="AB96" s="35">
        <v>1</v>
      </c>
      <c r="AC96" s="36">
        <v>1</v>
      </c>
      <c r="AD96" s="36">
        <v>1</v>
      </c>
      <c r="AE96" s="35">
        <v>2</v>
      </c>
      <c r="AF96" s="36">
        <v>3</v>
      </c>
      <c r="AG96" s="36">
        <v>4</v>
      </c>
    </row>
    <row r="97" spans="1:33" x14ac:dyDescent="0.45">
      <c r="A97" s="33" t="s">
        <v>216</v>
      </c>
      <c r="B97" s="31">
        <v>293</v>
      </c>
      <c r="C97" s="30">
        <v>668</v>
      </c>
      <c r="D97" s="31">
        <v>305</v>
      </c>
      <c r="E97" s="31">
        <v>21</v>
      </c>
      <c r="F97" s="31">
        <v>40</v>
      </c>
      <c r="G97" s="31">
        <v>27</v>
      </c>
      <c r="H97" s="30">
        <v>37370</v>
      </c>
      <c r="I97" s="30">
        <v>588</v>
      </c>
      <c r="J97" s="31">
        <v>534</v>
      </c>
      <c r="K97" s="32" t="s">
        <v>110</v>
      </c>
      <c r="L97" s="31">
        <v>132</v>
      </c>
      <c r="M97" s="31">
        <v>200</v>
      </c>
      <c r="N97" s="30">
        <v>2.468</v>
      </c>
      <c r="O97" s="31">
        <v>8.4109999999999996</v>
      </c>
      <c r="P97" s="30">
        <v>2817000000</v>
      </c>
      <c r="Q97" s="31">
        <v>8433000</v>
      </c>
      <c r="R97" s="31">
        <v>9657000</v>
      </c>
      <c r="S97" s="70">
        <v>274.5</v>
      </c>
      <c r="T97" s="84">
        <v>15969.999999999998</v>
      </c>
      <c r="U97" s="30">
        <v>189800000</v>
      </c>
      <c r="V97" s="31">
        <v>1245000</v>
      </c>
      <c r="W97" s="31">
        <v>1936000</v>
      </c>
      <c r="X97" s="31">
        <v>71.3</v>
      </c>
      <c r="Y97" s="30">
        <v>132.6</v>
      </c>
      <c r="Z97" s="31">
        <v>15790000</v>
      </c>
      <c r="AA97" s="31">
        <v>18650000000000</v>
      </c>
      <c r="AB97" s="30">
        <v>1</v>
      </c>
      <c r="AC97" s="31">
        <v>1</v>
      </c>
      <c r="AD97" s="31">
        <v>1</v>
      </c>
      <c r="AE97" s="30">
        <v>1</v>
      </c>
      <c r="AF97" s="31">
        <v>1</v>
      </c>
      <c r="AG97" s="31">
        <v>2</v>
      </c>
    </row>
    <row r="98" spans="1:33" x14ac:dyDescent="0.45">
      <c r="A98" s="40" t="s">
        <v>217</v>
      </c>
      <c r="B98" s="36">
        <v>343</v>
      </c>
      <c r="C98" s="35">
        <v>680</v>
      </c>
      <c r="D98" s="36">
        <v>309</v>
      </c>
      <c r="E98" s="36">
        <v>25</v>
      </c>
      <c r="F98" s="36">
        <v>46</v>
      </c>
      <c r="G98" s="36">
        <v>27</v>
      </c>
      <c r="H98" s="35">
        <v>43750</v>
      </c>
      <c r="I98" s="35">
        <v>588</v>
      </c>
      <c r="J98" s="36">
        <v>534</v>
      </c>
      <c r="K98" s="37" t="s">
        <v>108</v>
      </c>
      <c r="L98" s="36">
        <v>138</v>
      </c>
      <c r="M98" s="36">
        <v>202</v>
      </c>
      <c r="N98" s="35">
        <v>2.5</v>
      </c>
      <c r="O98" s="36">
        <v>7.2779999999999996</v>
      </c>
      <c r="P98" s="35">
        <v>3337000000</v>
      </c>
      <c r="Q98" s="36">
        <v>9815000</v>
      </c>
      <c r="R98" s="36">
        <v>11350000</v>
      </c>
      <c r="S98" s="72">
        <v>276.2</v>
      </c>
      <c r="T98" s="86">
        <v>18960</v>
      </c>
      <c r="U98" s="35">
        <v>227200000</v>
      </c>
      <c r="V98" s="36">
        <v>1470000</v>
      </c>
      <c r="W98" s="36">
        <v>2300000</v>
      </c>
      <c r="X98" s="36">
        <v>72.099999999999994</v>
      </c>
      <c r="Y98" s="35">
        <v>148.6</v>
      </c>
      <c r="Z98" s="36">
        <v>24420000</v>
      </c>
      <c r="AA98" s="36">
        <v>22730000000000</v>
      </c>
      <c r="AB98" s="35">
        <v>1</v>
      </c>
      <c r="AC98" s="36">
        <v>1</v>
      </c>
      <c r="AD98" s="36">
        <v>1</v>
      </c>
      <c r="AE98" s="35">
        <v>1</v>
      </c>
      <c r="AF98" s="36">
        <v>1</v>
      </c>
      <c r="AG98" s="36">
        <v>1</v>
      </c>
    </row>
    <row r="99" spans="1:33" x14ac:dyDescent="0.45">
      <c r="A99" s="43" t="s">
        <v>218</v>
      </c>
      <c r="B99" s="31">
        <v>407</v>
      </c>
      <c r="C99" s="30">
        <v>696</v>
      </c>
      <c r="D99" s="31">
        <v>314</v>
      </c>
      <c r="E99" s="31">
        <v>29.5</v>
      </c>
      <c r="F99" s="31">
        <v>54</v>
      </c>
      <c r="G99" s="31">
        <v>27</v>
      </c>
      <c r="H99" s="30">
        <v>51879.999999999993</v>
      </c>
      <c r="I99" s="30">
        <v>588</v>
      </c>
      <c r="J99" s="31">
        <v>534</v>
      </c>
      <c r="K99" s="32" t="s">
        <v>110</v>
      </c>
      <c r="L99" s="31">
        <v>142</v>
      </c>
      <c r="M99" s="31">
        <v>206</v>
      </c>
      <c r="N99" s="30">
        <v>2.5430000000000001</v>
      </c>
      <c r="O99" s="31">
        <v>6.2430000000000003</v>
      </c>
      <c r="P99" s="30">
        <v>4054000000</v>
      </c>
      <c r="Q99" s="31">
        <v>11650000</v>
      </c>
      <c r="R99" s="31">
        <v>13620000</v>
      </c>
      <c r="S99" s="70">
        <v>279.5</v>
      </c>
      <c r="T99" s="84">
        <v>22480</v>
      </c>
      <c r="U99" s="30">
        <v>280200000</v>
      </c>
      <c r="V99" s="31">
        <v>1785000</v>
      </c>
      <c r="W99" s="31">
        <v>2803000</v>
      </c>
      <c r="X99" s="31">
        <v>73.5</v>
      </c>
      <c r="Y99" s="30">
        <v>169.1</v>
      </c>
      <c r="Z99" s="31">
        <v>39580000</v>
      </c>
      <c r="AA99" s="31">
        <v>28710000000000</v>
      </c>
      <c r="AB99" s="30">
        <v>1</v>
      </c>
      <c r="AC99" s="31">
        <v>1</v>
      </c>
      <c r="AD99" s="31">
        <v>1</v>
      </c>
      <c r="AE99" s="30">
        <v>1</v>
      </c>
      <c r="AF99" s="31">
        <v>1</v>
      </c>
      <c r="AG99" s="31">
        <v>1</v>
      </c>
    </row>
    <row r="100" spans="1:33" x14ac:dyDescent="0.45">
      <c r="A100" s="43" t="s">
        <v>219</v>
      </c>
      <c r="B100" s="31">
        <v>150</v>
      </c>
      <c r="C100" s="30">
        <v>670</v>
      </c>
      <c r="D100" s="31">
        <v>300</v>
      </c>
      <c r="E100" s="31">
        <v>13</v>
      </c>
      <c r="F100" s="31">
        <v>17</v>
      </c>
      <c r="G100" s="31">
        <v>27</v>
      </c>
      <c r="H100" s="30">
        <v>19090</v>
      </c>
      <c r="I100" s="30">
        <v>636</v>
      </c>
      <c r="J100" s="31">
        <v>582</v>
      </c>
      <c r="K100" s="32" t="s">
        <v>110</v>
      </c>
      <c r="L100" s="31">
        <v>122</v>
      </c>
      <c r="M100" s="31">
        <v>198</v>
      </c>
      <c r="N100" s="30">
        <v>2.468</v>
      </c>
      <c r="O100" s="31">
        <v>16.46</v>
      </c>
      <c r="P100" s="30">
        <v>1427000000</v>
      </c>
      <c r="Q100" s="31">
        <v>4260000</v>
      </c>
      <c r="R100" s="31">
        <v>4840000</v>
      </c>
      <c r="S100" s="70">
        <v>273.39999999999998</v>
      </c>
      <c r="T100" s="84">
        <v>10030</v>
      </c>
      <c r="U100" s="30">
        <v>76730000</v>
      </c>
      <c r="V100" s="31">
        <v>511500</v>
      </c>
      <c r="W100" s="31">
        <v>799700</v>
      </c>
      <c r="X100" s="31">
        <v>63.4</v>
      </c>
      <c r="Y100" s="30">
        <v>78.63</v>
      </c>
      <c r="Z100" s="31">
        <v>1952000</v>
      </c>
      <c r="AA100" s="31">
        <v>8155000000000</v>
      </c>
      <c r="AB100" s="30">
        <v>1</v>
      </c>
      <c r="AC100" s="31">
        <v>1</v>
      </c>
      <c r="AD100" s="31">
        <v>2</v>
      </c>
      <c r="AE100" s="30">
        <v>4</v>
      </c>
      <c r="AF100" s="31">
        <v>4</v>
      </c>
      <c r="AG100" s="31">
        <v>4</v>
      </c>
    </row>
    <row r="101" spans="1:33" x14ac:dyDescent="0.45">
      <c r="A101" s="40" t="s">
        <v>220</v>
      </c>
      <c r="B101" s="36">
        <v>204</v>
      </c>
      <c r="C101" s="35">
        <v>690</v>
      </c>
      <c r="D101" s="36">
        <v>300</v>
      </c>
      <c r="E101" s="36">
        <v>14.5</v>
      </c>
      <c r="F101" s="36">
        <v>27</v>
      </c>
      <c r="G101" s="36">
        <v>27</v>
      </c>
      <c r="H101" s="35">
        <v>26050</v>
      </c>
      <c r="I101" s="35">
        <v>636</v>
      </c>
      <c r="J101" s="36">
        <v>582</v>
      </c>
      <c r="K101" s="37" t="s">
        <v>108</v>
      </c>
      <c r="L101" s="36">
        <v>124</v>
      </c>
      <c r="M101" s="36">
        <v>198</v>
      </c>
      <c r="N101" s="35">
        <v>2.5049999999999999</v>
      </c>
      <c r="O101" s="36">
        <v>12.25</v>
      </c>
      <c r="P101" s="35">
        <v>2153000000</v>
      </c>
      <c r="Q101" s="36">
        <v>6241000</v>
      </c>
      <c r="R101" s="36">
        <v>7032000</v>
      </c>
      <c r="S101" s="72">
        <v>287.5</v>
      </c>
      <c r="T101" s="86">
        <v>11700</v>
      </c>
      <c r="U101" s="35">
        <v>121800000</v>
      </c>
      <c r="V101" s="36">
        <v>811900</v>
      </c>
      <c r="W101" s="36">
        <v>1257000</v>
      </c>
      <c r="X101" s="36">
        <v>68.400000000000006</v>
      </c>
      <c r="Y101" s="35">
        <v>100.1</v>
      </c>
      <c r="Z101" s="36">
        <v>5139000</v>
      </c>
      <c r="AA101" s="36">
        <v>13350000000000</v>
      </c>
      <c r="AB101" s="35">
        <v>1</v>
      </c>
      <c r="AC101" s="36">
        <v>1</v>
      </c>
      <c r="AD101" s="36">
        <v>1</v>
      </c>
      <c r="AE101" s="35">
        <v>3</v>
      </c>
      <c r="AF101" s="36">
        <v>4</v>
      </c>
      <c r="AG101" s="36">
        <v>4</v>
      </c>
    </row>
    <row r="102" spans="1:33" x14ac:dyDescent="0.45">
      <c r="A102" s="33" t="s">
        <v>221</v>
      </c>
      <c r="B102" s="31">
        <v>241</v>
      </c>
      <c r="C102" s="30">
        <v>700</v>
      </c>
      <c r="D102" s="31">
        <v>300</v>
      </c>
      <c r="E102" s="31">
        <v>17</v>
      </c>
      <c r="F102" s="31">
        <v>32</v>
      </c>
      <c r="G102" s="31">
        <v>27</v>
      </c>
      <c r="H102" s="30">
        <v>30639.999999999996</v>
      </c>
      <c r="I102" s="30">
        <v>636</v>
      </c>
      <c r="J102" s="31">
        <v>582</v>
      </c>
      <c r="K102" s="32" t="s">
        <v>110</v>
      </c>
      <c r="L102" s="31">
        <v>126</v>
      </c>
      <c r="M102" s="31">
        <v>198</v>
      </c>
      <c r="N102" s="30">
        <v>2.52</v>
      </c>
      <c r="O102" s="31">
        <v>10.48</v>
      </c>
      <c r="P102" s="30">
        <v>2569000000</v>
      </c>
      <c r="Q102" s="31">
        <v>7340000</v>
      </c>
      <c r="R102" s="31">
        <v>8327000</v>
      </c>
      <c r="S102" s="70">
        <v>289.60000000000002</v>
      </c>
      <c r="T102" s="84">
        <v>13710</v>
      </c>
      <c r="U102" s="30">
        <v>144400000</v>
      </c>
      <c r="V102" s="31">
        <v>962700</v>
      </c>
      <c r="W102" s="31">
        <v>1495000</v>
      </c>
      <c r="X102" s="31">
        <v>68.7</v>
      </c>
      <c r="Y102" s="30">
        <v>112.6</v>
      </c>
      <c r="Z102" s="31">
        <v>8309000</v>
      </c>
      <c r="AA102" s="31">
        <v>16060000000000</v>
      </c>
      <c r="AB102" s="30">
        <v>1</v>
      </c>
      <c r="AC102" s="31">
        <v>1</v>
      </c>
      <c r="AD102" s="31">
        <v>1</v>
      </c>
      <c r="AE102" s="30">
        <v>2</v>
      </c>
      <c r="AF102" s="31">
        <v>4</v>
      </c>
      <c r="AG102" s="31">
        <v>4</v>
      </c>
    </row>
    <row r="103" spans="1:33" x14ac:dyDescent="0.45">
      <c r="A103" s="40" t="s">
        <v>222</v>
      </c>
      <c r="B103" s="36">
        <v>301</v>
      </c>
      <c r="C103" s="35">
        <v>716</v>
      </c>
      <c r="D103" s="36">
        <v>304</v>
      </c>
      <c r="E103" s="36">
        <v>21</v>
      </c>
      <c r="F103" s="36">
        <v>40</v>
      </c>
      <c r="G103" s="36">
        <v>27</v>
      </c>
      <c r="H103" s="35">
        <v>38300</v>
      </c>
      <c r="I103" s="35">
        <v>636</v>
      </c>
      <c r="J103" s="36">
        <v>582</v>
      </c>
      <c r="K103" s="37" t="s">
        <v>108</v>
      </c>
      <c r="L103" s="36">
        <v>132</v>
      </c>
      <c r="M103" s="36">
        <v>200</v>
      </c>
      <c r="N103" s="35">
        <v>2.56</v>
      </c>
      <c r="O103" s="36">
        <v>8.5129999999999999</v>
      </c>
      <c r="P103" s="35">
        <v>3293000000</v>
      </c>
      <c r="Q103" s="36">
        <v>9198000</v>
      </c>
      <c r="R103" s="36">
        <v>10540000</v>
      </c>
      <c r="S103" s="72">
        <v>293.2</v>
      </c>
      <c r="T103" s="86">
        <v>16980</v>
      </c>
      <c r="U103" s="35">
        <v>188000000</v>
      </c>
      <c r="V103" s="36">
        <v>1240000</v>
      </c>
      <c r="W103" s="36">
        <v>1929000</v>
      </c>
      <c r="X103" s="36">
        <v>70.099999999999994</v>
      </c>
      <c r="Y103" s="35">
        <v>132.6</v>
      </c>
      <c r="Z103" s="36">
        <v>15890000</v>
      </c>
      <c r="AA103" s="36">
        <v>21400000000000</v>
      </c>
      <c r="AB103" s="35">
        <v>1</v>
      </c>
      <c r="AC103" s="36">
        <v>1</v>
      </c>
      <c r="AD103" s="36">
        <v>1</v>
      </c>
      <c r="AE103" s="35">
        <v>1</v>
      </c>
      <c r="AF103" s="36">
        <v>2</v>
      </c>
      <c r="AG103" s="36">
        <v>3</v>
      </c>
    </row>
    <row r="104" spans="1:33" x14ac:dyDescent="0.45">
      <c r="A104" s="43" t="s">
        <v>223</v>
      </c>
      <c r="B104" s="31">
        <v>352</v>
      </c>
      <c r="C104" s="30">
        <v>728</v>
      </c>
      <c r="D104" s="31">
        <v>308</v>
      </c>
      <c r="E104" s="31">
        <v>25</v>
      </c>
      <c r="F104" s="31">
        <v>46</v>
      </c>
      <c r="G104" s="31">
        <v>27</v>
      </c>
      <c r="H104" s="30">
        <v>44860</v>
      </c>
      <c r="I104" s="30">
        <v>636</v>
      </c>
      <c r="J104" s="31">
        <v>582</v>
      </c>
      <c r="K104" s="32" t="s">
        <v>110</v>
      </c>
      <c r="L104" s="31">
        <v>138</v>
      </c>
      <c r="M104" s="31">
        <v>200</v>
      </c>
      <c r="N104" s="30">
        <v>2.5920000000000001</v>
      </c>
      <c r="O104" s="31">
        <v>7.359</v>
      </c>
      <c r="P104" s="30">
        <v>3897000000</v>
      </c>
      <c r="Q104" s="31">
        <v>10710000</v>
      </c>
      <c r="R104" s="31">
        <v>12390000</v>
      </c>
      <c r="S104" s="70">
        <v>294.7</v>
      </c>
      <c r="T104" s="84">
        <v>20160</v>
      </c>
      <c r="U104" s="30">
        <v>225100000</v>
      </c>
      <c r="V104" s="31">
        <v>1461000</v>
      </c>
      <c r="W104" s="31">
        <v>2293000</v>
      </c>
      <c r="X104" s="31">
        <v>70.8</v>
      </c>
      <c r="Y104" s="30">
        <v>148.6</v>
      </c>
      <c r="Z104" s="31">
        <v>24610000</v>
      </c>
      <c r="AA104" s="31">
        <v>26050000000000</v>
      </c>
      <c r="AB104" s="30">
        <v>1</v>
      </c>
      <c r="AC104" s="31">
        <v>1</v>
      </c>
      <c r="AD104" s="31">
        <v>1</v>
      </c>
      <c r="AE104" s="30">
        <v>1</v>
      </c>
      <c r="AF104" s="31">
        <v>1</v>
      </c>
      <c r="AG104" s="31">
        <v>1</v>
      </c>
    </row>
    <row r="105" spans="1:33" x14ac:dyDescent="0.45">
      <c r="A105" s="40" t="s">
        <v>224</v>
      </c>
      <c r="B105" s="36">
        <v>418</v>
      </c>
      <c r="C105" s="35">
        <v>744</v>
      </c>
      <c r="D105" s="36">
        <v>313</v>
      </c>
      <c r="E105" s="36">
        <v>29.5</v>
      </c>
      <c r="F105" s="36">
        <v>54</v>
      </c>
      <c r="G105" s="36">
        <v>27</v>
      </c>
      <c r="H105" s="35">
        <v>53190</v>
      </c>
      <c r="I105" s="35">
        <v>636</v>
      </c>
      <c r="J105" s="36">
        <v>582</v>
      </c>
      <c r="K105" s="37" t="s">
        <v>108</v>
      </c>
      <c r="L105" s="36">
        <v>142</v>
      </c>
      <c r="M105" s="36">
        <v>206</v>
      </c>
      <c r="N105" s="35">
        <v>2.6349999999999998</v>
      </c>
      <c r="O105" s="36">
        <v>6.31</v>
      </c>
      <c r="P105" s="35">
        <v>4725000000</v>
      </c>
      <c r="Q105" s="36">
        <v>12700000</v>
      </c>
      <c r="R105" s="36">
        <v>14840000</v>
      </c>
      <c r="S105" s="72">
        <v>298</v>
      </c>
      <c r="T105" s="86">
        <v>23900</v>
      </c>
      <c r="U105" s="35">
        <v>277600000</v>
      </c>
      <c r="V105" s="36">
        <v>1774000</v>
      </c>
      <c r="W105" s="36">
        <v>2797000</v>
      </c>
      <c r="X105" s="36">
        <v>72.2</v>
      </c>
      <c r="Y105" s="35">
        <v>169.1</v>
      </c>
      <c r="Z105" s="36">
        <v>39890000</v>
      </c>
      <c r="AA105" s="36">
        <v>32850000000000</v>
      </c>
      <c r="AB105" s="35">
        <v>1</v>
      </c>
      <c r="AC105" s="36">
        <v>1</v>
      </c>
      <c r="AD105" s="36">
        <v>1</v>
      </c>
      <c r="AE105" s="35">
        <v>1</v>
      </c>
      <c r="AF105" s="36">
        <v>1</v>
      </c>
      <c r="AG105" s="36">
        <v>1</v>
      </c>
    </row>
    <row r="106" spans="1:33" x14ac:dyDescent="0.45">
      <c r="A106" s="40" t="s">
        <v>225</v>
      </c>
      <c r="B106" s="36">
        <v>172</v>
      </c>
      <c r="C106" s="35">
        <v>770</v>
      </c>
      <c r="D106" s="36">
        <v>300</v>
      </c>
      <c r="E106" s="36">
        <v>14</v>
      </c>
      <c r="F106" s="36">
        <v>18</v>
      </c>
      <c r="G106" s="36">
        <v>30</v>
      </c>
      <c r="H106" s="35">
        <v>21850</v>
      </c>
      <c r="I106" s="35">
        <v>734</v>
      </c>
      <c r="J106" s="36">
        <v>674</v>
      </c>
      <c r="K106" s="37" t="s">
        <v>108</v>
      </c>
      <c r="L106" s="36">
        <v>130</v>
      </c>
      <c r="M106" s="36">
        <v>198</v>
      </c>
      <c r="N106" s="35">
        <v>2.66</v>
      </c>
      <c r="O106" s="36">
        <v>15.51</v>
      </c>
      <c r="P106" s="35">
        <v>2089000000</v>
      </c>
      <c r="Q106" s="36">
        <v>5426000</v>
      </c>
      <c r="R106" s="36">
        <v>6225000</v>
      </c>
      <c r="S106" s="72">
        <v>309.20000000000005</v>
      </c>
      <c r="T106" s="86">
        <v>12380</v>
      </c>
      <c r="U106" s="35">
        <v>81340000</v>
      </c>
      <c r="V106" s="36">
        <v>542200</v>
      </c>
      <c r="W106" s="36">
        <v>856600</v>
      </c>
      <c r="X106" s="36">
        <v>61</v>
      </c>
      <c r="Y106" s="35">
        <v>85.15</v>
      </c>
      <c r="Z106" s="36">
        <v>2568000</v>
      </c>
      <c r="AA106" s="36">
        <v>11450000000000</v>
      </c>
      <c r="AB106" s="35">
        <v>1</v>
      </c>
      <c r="AC106" s="36">
        <v>1</v>
      </c>
      <c r="AD106" s="36">
        <v>1</v>
      </c>
      <c r="AE106" s="35">
        <v>4</v>
      </c>
      <c r="AF106" s="36">
        <v>4</v>
      </c>
      <c r="AG106" s="36">
        <v>4</v>
      </c>
    </row>
    <row r="107" spans="1:33" x14ac:dyDescent="0.45">
      <c r="A107" s="33" t="s">
        <v>226</v>
      </c>
      <c r="B107" s="31">
        <v>224</v>
      </c>
      <c r="C107" s="30">
        <v>790</v>
      </c>
      <c r="D107" s="31">
        <v>300</v>
      </c>
      <c r="E107" s="31">
        <v>15</v>
      </c>
      <c r="F107" s="31">
        <v>28</v>
      </c>
      <c r="G107" s="31">
        <v>30</v>
      </c>
      <c r="H107" s="30">
        <v>28580</v>
      </c>
      <c r="I107" s="30">
        <v>734</v>
      </c>
      <c r="J107" s="31">
        <v>674</v>
      </c>
      <c r="K107" s="32" t="s">
        <v>110</v>
      </c>
      <c r="L107" s="31">
        <v>130</v>
      </c>
      <c r="M107" s="31">
        <v>198</v>
      </c>
      <c r="N107" s="30">
        <v>2.698</v>
      </c>
      <c r="O107" s="31">
        <v>12.03</v>
      </c>
      <c r="P107" s="30">
        <v>3034000000</v>
      </c>
      <c r="Q107" s="31">
        <v>7682000</v>
      </c>
      <c r="R107" s="31">
        <v>8699000</v>
      </c>
      <c r="S107" s="70">
        <v>325.79999999999995</v>
      </c>
      <c r="T107" s="84">
        <v>13880.000000000002</v>
      </c>
      <c r="U107" s="30">
        <v>126400000</v>
      </c>
      <c r="V107" s="31">
        <v>842600</v>
      </c>
      <c r="W107" s="31">
        <v>1312000</v>
      </c>
      <c r="X107" s="31">
        <v>66.5</v>
      </c>
      <c r="Y107" s="30">
        <v>106.1</v>
      </c>
      <c r="Z107" s="31">
        <v>5969000</v>
      </c>
      <c r="AA107" s="31">
        <v>18290000000000</v>
      </c>
      <c r="AB107" s="30">
        <v>1</v>
      </c>
      <c r="AC107" s="31">
        <v>1</v>
      </c>
      <c r="AD107" s="31">
        <v>1</v>
      </c>
      <c r="AE107" s="30">
        <v>4</v>
      </c>
      <c r="AF107" s="31">
        <v>4</v>
      </c>
      <c r="AG107" s="31">
        <v>4</v>
      </c>
    </row>
    <row r="108" spans="1:33" x14ac:dyDescent="0.45">
      <c r="A108" s="40" t="s">
        <v>227</v>
      </c>
      <c r="B108" s="36">
        <v>262</v>
      </c>
      <c r="C108" s="35">
        <v>800</v>
      </c>
      <c r="D108" s="36">
        <v>300</v>
      </c>
      <c r="E108" s="36">
        <v>17.5</v>
      </c>
      <c r="F108" s="36">
        <v>33</v>
      </c>
      <c r="G108" s="36">
        <v>30</v>
      </c>
      <c r="H108" s="35">
        <v>33420</v>
      </c>
      <c r="I108" s="35">
        <v>734</v>
      </c>
      <c r="J108" s="36">
        <v>674</v>
      </c>
      <c r="K108" s="37" t="s">
        <v>108</v>
      </c>
      <c r="L108" s="36">
        <v>134</v>
      </c>
      <c r="M108" s="36">
        <v>198</v>
      </c>
      <c r="N108" s="35">
        <v>2.7130000000000001</v>
      </c>
      <c r="O108" s="36">
        <v>10.34</v>
      </c>
      <c r="P108" s="35">
        <v>3591000000</v>
      </c>
      <c r="Q108" s="36">
        <v>8977000</v>
      </c>
      <c r="R108" s="36">
        <v>10230000</v>
      </c>
      <c r="S108" s="72">
        <v>327.8</v>
      </c>
      <c r="T108" s="86">
        <v>16180.000000000002</v>
      </c>
      <c r="U108" s="35">
        <v>149000000</v>
      </c>
      <c r="V108" s="36">
        <v>993600</v>
      </c>
      <c r="W108" s="36">
        <v>1553000</v>
      </c>
      <c r="X108" s="36">
        <v>66.8</v>
      </c>
      <c r="Y108" s="35">
        <v>118.6</v>
      </c>
      <c r="Z108" s="36">
        <v>9460000</v>
      </c>
      <c r="AA108" s="36">
        <v>21840000000000</v>
      </c>
      <c r="AB108" s="35">
        <v>1</v>
      </c>
      <c r="AC108" s="36">
        <v>1</v>
      </c>
      <c r="AD108" s="36">
        <v>1</v>
      </c>
      <c r="AE108" s="35">
        <v>3</v>
      </c>
      <c r="AF108" s="36">
        <v>4</v>
      </c>
      <c r="AG108" s="36">
        <v>4</v>
      </c>
    </row>
    <row r="109" spans="1:33" x14ac:dyDescent="0.45">
      <c r="A109" s="33" t="s">
        <v>228</v>
      </c>
      <c r="B109" s="31">
        <v>317</v>
      </c>
      <c r="C109" s="30">
        <v>814</v>
      </c>
      <c r="D109" s="31">
        <v>303</v>
      </c>
      <c r="E109" s="31">
        <v>21</v>
      </c>
      <c r="F109" s="31">
        <v>40</v>
      </c>
      <c r="G109" s="31">
        <v>30</v>
      </c>
      <c r="H109" s="30">
        <v>40430</v>
      </c>
      <c r="I109" s="30">
        <v>734</v>
      </c>
      <c r="J109" s="31">
        <v>674</v>
      </c>
      <c r="K109" s="32" t="s">
        <v>110</v>
      </c>
      <c r="L109" s="31">
        <v>138</v>
      </c>
      <c r="M109" s="31">
        <v>198</v>
      </c>
      <c r="N109" s="30">
        <v>2.746</v>
      </c>
      <c r="O109" s="31">
        <v>8.6549999999999994</v>
      </c>
      <c r="P109" s="30">
        <v>4426000000</v>
      </c>
      <c r="Q109" s="31">
        <v>10870000</v>
      </c>
      <c r="R109" s="31">
        <v>12490000</v>
      </c>
      <c r="S109" s="70">
        <v>330.90000000000003</v>
      </c>
      <c r="T109" s="84">
        <v>19430</v>
      </c>
      <c r="U109" s="30">
        <v>186300000</v>
      </c>
      <c r="V109" s="31">
        <v>1230000</v>
      </c>
      <c r="W109" s="31">
        <v>1930000</v>
      </c>
      <c r="X109" s="31">
        <v>67.900000000000006</v>
      </c>
      <c r="Y109" s="30">
        <v>136.1</v>
      </c>
      <c r="Z109" s="31">
        <v>16460000</v>
      </c>
      <c r="AA109" s="31">
        <v>27780000000000</v>
      </c>
      <c r="AB109" s="30">
        <v>1</v>
      </c>
      <c r="AC109" s="31">
        <v>1</v>
      </c>
      <c r="AD109" s="31">
        <v>1</v>
      </c>
      <c r="AE109" s="30">
        <v>1</v>
      </c>
      <c r="AF109" s="31">
        <v>3</v>
      </c>
      <c r="AG109" s="31">
        <v>4</v>
      </c>
    </row>
    <row r="110" spans="1:33" x14ac:dyDescent="0.45">
      <c r="A110" s="40" t="s">
        <v>229</v>
      </c>
      <c r="B110" s="36">
        <v>373</v>
      </c>
      <c r="C110" s="35">
        <v>826</v>
      </c>
      <c r="D110" s="36">
        <v>308</v>
      </c>
      <c r="E110" s="36">
        <v>25</v>
      </c>
      <c r="F110" s="36">
        <v>46</v>
      </c>
      <c r="G110" s="36">
        <v>30</v>
      </c>
      <c r="H110" s="35">
        <v>47460</v>
      </c>
      <c r="I110" s="35">
        <v>734</v>
      </c>
      <c r="J110" s="36">
        <v>674</v>
      </c>
      <c r="K110" s="37" t="s">
        <v>108</v>
      </c>
      <c r="L110" s="36">
        <v>144</v>
      </c>
      <c r="M110" s="36">
        <v>200</v>
      </c>
      <c r="N110" s="35">
        <v>2.782</v>
      </c>
      <c r="O110" s="36">
        <v>7.4690000000000003</v>
      </c>
      <c r="P110" s="35">
        <v>5239000000</v>
      </c>
      <c r="Q110" s="36">
        <v>12690000</v>
      </c>
      <c r="R110" s="36">
        <v>14700000</v>
      </c>
      <c r="S110" s="72">
        <v>332.29999999999995</v>
      </c>
      <c r="T110" s="86">
        <v>23030</v>
      </c>
      <c r="U110" s="35">
        <v>225300000</v>
      </c>
      <c r="V110" s="36">
        <v>1463000</v>
      </c>
      <c r="W110" s="36">
        <v>2311000</v>
      </c>
      <c r="X110" s="36">
        <v>68.899999999999991</v>
      </c>
      <c r="Y110" s="35">
        <v>152.1</v>
      </c>
      <c r="Z110" s="36">
        <v>25540000</v>
      </c>
      <c r="AA110" s="36">
        <v>34070000000000</v>
      </c>
      <c r="AB110" s="35">
        <v>1</v>
      </c>
      <c r="AC110" s="36">
        <v>1</v>
      </c>
      <c r="AD110" s="36">
        <v>1</v>
      </c>
      <c r="AE110" s="35">
        <v>1</v>
      </c>
      <c r="AF110" s="36">
        <v>2</v>
      </c>
      <c r="AG110" s="36">
        <v>2</v>
      </c>
    </row>
    <row r="111" spans="1:33" x14ac:dyDescent="0.45">
      <c r="A111" s="43" t="s">
        <v>230</v>
      </c>
      <c r="B111" s="31">
        <v>444</v>
      </c>
      <c r="C111" s="30">
        <v>842</v>
      </c>
      <c r="D111" s="31">
        <v>313</v>
      </c>
      <c r="E111" s="31">
        <v>30</v>
      </c>
      <c r="F111" s="31">
        <v>54</v>
      </c>
      <c r="G111" s="31">
        <v>30</v>
      </c>
      <c r="H111" s="30">
        <v>56600</v>
      </c>
      <c r="I111" s="30">
        <v>734</v>
      </c>
      <c r="J111" s="31">
        <v>674</v>
      </c>
      <c r="K111" s="32" t="s">
        <v>110</v>
      </c>
      <c r="L111" s="31">
        <v>148</v>
      </c>
      <c r="M111" s="31">
        <v>206</v>
      </c>
      <c r="N111" s="30">
        <v>2.8239999999999998</v>
      </c>
      <c r="O111" s="31">
        <v>6.3570000000000002</v>
      </c>
      <c r="P111" s="30">
        <v>6345000000</v>
      </c>
      <c r="Q111" s="31">
        <v>15070000</v>
      </c>
      <c r="R111" s="31">
        <v>17640000</v>
      </c>
      <c r="S111" s="70">
        <v>334.79999999999995</v>
      </c>
      <c r="T111" s="84">
        <v>27650</v>
      </c>
      <c r="U111" s="30">
        <v>278000000</v>
      </c>
      <c r="V111" s="31">
        <v>1776000</v>
      </c>
      <c r="W111" s="31">
        <v>2827000</v>
      </c>
      <c r="X111" s="31">
        <v>70.099999999999994</v>
      </c>
      <c r="Y111" s="30">
        <v>173.1</v>
      </c>
      <c r="Z111" s="31">
        <v>41800000</v>
      </c>
      <c r="AA111" s="31">
        <v>42840000000000</v>
      </c>
      <c r="AB111" s="30">
        <v>1</v>
      </c>
      <c r="AC111" s="31">
        <v>1</v>
      </c>
      <c r="AD111" s="31">
        <v>1</v>
      </c>
      <c r="AE111" s="30">
        <v>1</v>
      </c>
      <c r="AF111" s="31">
        <v>1</v>
      </c>
      <c r="AG111" s="31">
        <v>1</v>
      </c>
    </row>
    <row r="112" spans="1:33" x14ac:dyDescent="0.45">
      <c r="A112" s="43" t="s">
        <v>231</v>
      </c>
      <c r="B112" s="31">
        <v>198</v>
      </c>
      <c r="C112" s="30">
        <v>870</v>
      </c>
      <c r="D112" s="31">
        <v>300</v>
      </c>
      <c r="E112" s="31">
        <v>15</v>
      </c>
      <c r="F112" s="31">
        <v>20</v>
      </c>
      <c r="G112" s="31">
        <v>30</v>
      </c>
      <c r="H112" s="30">
        <v>25220</v>
      </c>
      <c r="I112" s="30">
        <v>830</v>
      </c>
      <c r="J112" s="31">
        <v>770</v>
      </c>
      <c r="K112" s="32" t="s">
        <v>110</v>
      </c>
      <c r="L112" s="31">
        <v>130</v>
      </c>
      <c r="M112" s="31">
        <v>198</v>
      </c>
      <c r="N112" s="30">
        <v>2.8580000000000001</v>
      </c>
      <c r="O112" s="31">
        <v>14.44</v>
      </c>
      <c r="P112" s="30">
        <v>3011000000</v>
      </c>
      <c r="Q112" s="31">
        <v>6923000</v>
      </c>
      <c r="R112" s="31">
        <v>7999000</v>
      </c>
      <c r="S112" s="70">
        <v>345.5</v>
      </c>
      <c r="T112" s="84">
        <v>14719.999999999998</v>
      </c>
      <c r="U112" s="30">
        <v>90410000</v>
      </c>
      <c r="V112" s="31">
        <v>602800</v>
      </c>
      <c r="W112" s="31">
        <v>957700</v>
      </c>
      <c r="X112" s="31">
        <v>59.900000000000006</v>
      </c>
      <c r="Y112" s="30">
        <v>90.15</v>
      </c>
      <c r="Z112" s="31">
        <v>3349000</v>
      </c>
      <c r="AA112" s="31">
        <v>16260000000000</v>
      </c>
      <c r="AB112" s="30">
        <v>1</v>
      </c>
      <c r="AC112" s="31">
        <v>1</v>
      </c>
      <c r="AD112" s="31">
        <v>1</v>
      </c>
      <c r="AE112" s="30">
        <v>4</v>
      </c>
      <c r="AF112" s="31">
        <v>4</v>
      </c>
      <c r="AG112" s="31">
        <v>4</v>
      </c>
    </row>
    <row r="113" spans="1:33" x14ac:dyDescent="0.45">
      <c r="A113" s="40" t="s">
        <v>232</v>
      </c>
      <c r="B113" s="36">
        <v>252</v>
      </c>
      <c r="C113" s="35">
        <v>890</v>
      </c>
      <c r="D113" s="36">
        <v>300</v>
      </c>
      <c r="E113" s="36">
        <v>16</v>
      </c>
      <c r="F113" s="36">
        <v>30</v>
      </c>
      <c r="G113" s="36">
        <v>30</v>
      </c>
      <c r="H113" s="35">
        <v>32050</v>
      </c>
      <c r="I113" s="35">
        <v>830</v>
      </c>
      <c r="J113" s="36">
        <v>770</v>
      </c>
      <c r="K113" s="37" t="s">
        <v>108</v>
      </c>
      <c r="L113" s="36">
        <v>132</v>
      </c>
      <c r="M113" s="36">
        <v>198</v>
      </c>
      <c r="N113" s="35">
        <v>2.8959999999999999</v>
      </c>
      <c r="O113" s="36">
        <v>11.51</v>
      </c>
      <c r="P113" s="35">
        <v>4221000000</v>
      </c>
      <c r="Q113" s="36">
        <v>9485000</v>
      </c>
      <c r="R113" s="36">
        <v>10810000</v>
      </c>
      <c r="S113" s="72">
        <v>362.9</v>
      </c>
      <c r="T113" s="86">
        <v>16330.000000000002</v>
      </c>
      <c r="U113" s="35">
        <v>135500000</v>
      </c>
      <c r="V113" s="36">
        <v>903200</v>
      </c>
      <c r="W113" s="36">
        <v>1414000</v>
      </c>
      <c r="X113" s="36">
        <v>65</v>
      </c>
      <c r="Y113" s="35">
        <v>111.1</v>
      </c>
      <c r="Z113" s="36">
        <v>7368000</v>
      </c>
      <c r="AA113" s="36">
        <v>24960000000000</v>
      </c>
      <c r="AB113" s="35">
        <v>1</v>
      </c>
      <c r="AC113" s="36">
        <v>1</v>
      </c>
      <c r="AD113" s="36">
        <v>1</v>
      </c>
      <c r="AE113" s="35">
        <v>4</v>
      </c>
      <c r="AF113" s="36">
        <v>4</v>
      </c>
      <c r="AG113" s="36">
        <v>4</v>
      </c>
    </row>
    <row r="114" spans="1:33" x14ac:dyDescent="0.45">
      <c r="A114" s="33" t="s">
        <v>233</v>
      </c>
      <c r="B114" s="31">
        <v>291</v>
      </c>
      <c r="C114" s="30">
        <v>900</v>
      </c>
      <c r="D114" s="31">
        <v>300</v>
      </c>
      <c r="E114" s="31">
        <v>18.5</v>
      </c>
      <c r="F114" s="31">
        <v>35</v>
      </c>
      <c r="G114" s="31">
        <v>30</v>
      </c>
      <c r="H114" s="30">
        <v>37130</v>
      </c>
      <c r="I114" s="30">
        <v>830</v>
      </c>
      <c r="J114" s="31">
        <v>770</v>
      </c>
      <c r="K114" s="32" t="s">
        <v>110</v>
      </c>
      <c r="L114" s="31">
        <v>134</v>
      </c>
      <c r="M114" s="31">
        <v>198</v>
      </c>
      <c r="N114" s="30">
        <v>2.911</v>
      </c>
      <c r="O114" s="31">
        <v>9.99</v>
      </c>
      <c r="P114" s="30">
        <v>4941000000</v>
      </c>
      <c r="Q114" s="31">
        <v>10980000</v>
      </c>
      <c r="R114" s="31">
        <v>12580000</v>
      </c>
      <c r="S114" s="70">
        <v>364.79999999999995</v>
      </c>
      <c r="T114" s="84">
        <v>18880</v>
      </c>
      <c r="U114" s="30">
        <v>158200000</v>
      </c>
      <c r="V114" s="31">
        <v>1050000</v>
      </c>
      <c r="W114" s="31">
        <v>1658000</v>
      </c>
      <c r="X114" s="31">
        <v>65.3</v>
      </c>
      <c r="Y114" s="30">
        <v>123.6</v>
      </c>
      <c r="Z114" s="31">
        <v>11370000</v>
      </c>
      <c r="AA114" s="31">
        <v>29460000000000</v>
      </c>
      <c r="AB114" s="30">
        <v>1</v>
      </c>
      <c r="AC114" s="31">
        <v>1</v>
      </c>
      <c r="AD114" s="31">
        <v>1</v>
      </c>
      <c r="AE114" s="30">
        <v>3</v>
      </c>
      <c r="AF114" s="31">
        <v>4</v>
      </c>
      <c r="AG114" s="31">
        <v>4</v>
      </c>
    </row>
    <row r="115" spans="1:33" x14ac:dyDescent="0.45">
      <c r="A115" s="40" t="s">
        <v>234</v>
      </c>
      <c r="B115" s="36">
        <v>333</v>
      </c>
      <c r="C115" s="35">
        <v>910</v>
      </c>
      <c r="D115" s="36">
        <v>302</v>
      </c>
      <c r="E115" s="36">
        <v>21</v>
      </c>
      <c r="F115" s="36">
        <v>40</v>
      </c>
      <c r="G115" s="36">
        <v>30</v>
      </c>
      <c r="H115" s="35">
        <v>42360</v>
      </c>
      <c r="I115" s="35">
        <v>830</v>
      </c>
      <c r="J115" s="36">
        <v>770</v>
      </c>
      <c r="K115" s="37" t="s">
        <v>108</v>
      </c>
      <c r="L115" s="36">
        <v>138</v>
      </c>
      <c r="M115" s="36">
        <v>198</v>
      </c>
      <c r="N115" s="35">
        <v>2.9340000000000002</v>
      </c>
      <c r="O115" s="36">
        <v>8.8239999999999998</v>
      </c>
      <c r="P115" s="35">
        <v>5704000000</v>
      </c>
      <c r="Q115" s="36">
        <v>12540000</v>
      </c>
      <c r="R115" s="36">
        <v>14440000</v>
      </c>
      <c r="S115" s="72">
        <v>367</v>
      </c>
      <c r="T115" s="86">
        <v>21440</v>
      </c>
      <c r="U115" s="35">
        <v>184500000</v>
      </c>
      <c r="V115" s="36">
        <v>1220000</v>
      </c>
      <c r="W115" s="36">
        <v>1929000</v>
      </c>
      <c r="X115" s="36">
        <v>66</v>
      </c>
      <c r="Y115" s="35">
        <v>136.1</v>
      </c>
      <c r="Z115" s="36">
        <v>16710000</v>
      </c>
      <c r="AA115" s="36">
        <v>34750000000000</v>
      </c>
      <c r="AB115" s="35">
        <v>1</v>
      </c>
      <c r="AC115" s="36">
        <v>1</v>
      </c>
      <c r="AD115" s="36">
        <v>1</v>
      </c>
      <c r="AE115" s="35">
        <v>2</v>
      </c>
      <c r="AF115" s="36">
        <v>4</v>
      </c>
      <c r="AG115" s="36">
        <v>4</v>
      </c>
    </row>
    <row r="116" spans="1:33" x14ac:dyDescent="0.45">
      <c r="A116" s="43" t="s">
        <v>235</v>
      </c>
      <c r="B116" s="31">
        <v>391</v>
      </c>
      <c r="C116" s="30">
        <v>922</v>
      </c>
      <c r="D116" s="31">
        <v>307</v>
      </c>
      <c r="E116" s="31">
        <v>25</v>
      </c>
      <c r="F116" s="31">
        <v>46</v>
      </c>
      <c r="G116" s="31">
        <v>30</v>
      </c>
      <c r="H116" s="30">
        <v>49770</v>
      </c>
      <c r="I116" s="30">
        <v>830</v>
      </c>
      <c r="J116" s="31">
        <v>770</v>
      </c>
      <c r="K116" s="32" t="s">
        <v>110</v>
      </c>
      <c r="L116" s="31">
        <v>144</v>
      </c>
      <c r="M116" s="31">
        <v>200</v>
      </c>
      <c r="N116" s="30">
        <v>2.97</v>
      </c>
      <c r="O116" s="31">
        <v>7.6040000000000001</v>
      </c>
      <c r="P116" s="30">
        <v>6743000000</v>
      </c>
      <c r="Q116" s="31">
        <v>14630000</v>
      </c>
      <c r="R116" s="31">
        <v>16990000</v>
      </c>
      <c r="S116" s="70">
        <v>368.1</v>
      </c>
      <c r="T116" s="84">
        <v>25430</v>
      </c>
      <c r="U116" s="30">
        <v>223200000</v>
      </c>
      <c r="V116" s="31">
        <v>1454000</v>
      </c>
      <c r="W116" s="31">
        <v>2312000</v>
      </c>
      <c r="X116" s="31">
        <v>67</v>
      </c>
      <c r="Y116" s="30">
        <v>152.1</v>
      </c>
      <c r="Z116" s="31">
        <v>25970000</v>
      </c>
      <c r="AA116" s="31">
        <v>42560000000000</v>
      </c>
      <c r="AB116" s="30">
        <v>1</v>
      </c>
      <c r="AC116" s="31">
        <v>1</v>
      </c>
      <c r="AD116" s="31">
        <v>1</v>
      </c>
      <c r="AE116" s="30">
        <v>1</v>
      </c>
      <c r="AF116" s="31">
        <v>2</v>
      </c>
      <c r="AG116" s="31">
        <v>4</v>
      </c>
    </row>
    <row r="117" spans="1:33" x14ac:dyDescent="0.45">
      <c r="A117" s="40" t="s">
        <v>236</v>
      </c>
      <c r="B117" s="36">
        <v>466</v>
      </c>
      <c r="C117" s="35">
        <v>938</v>
      </c>
      <c r="D117" s="36">
        <v>312</v>
      </c>
      <c r="E117" s="36">
        <v>30</v>
      </c>
      <c r="F117" s="36">
        <v>54</v>
      </c>
      <c r="G117" s="36">
        <v>30</v>
      </c>
      <c r="H117" s="35">
        <v>59370.000000000007</v>
      </c>
      <c r="I117" s="35">
        <v>830</v>
      </c>
      <c r="J117" s="36">
        <v>770</v>
      </c>
      <c r="K117" s="37" t="s">
        <v>108</v>
      </c>
      <c r="L117" s="36">
        <v>148</v>
      </c>
      <c r="M117" s="36">
        <v>204</v>
      </c>
      <c r="N117" s="35">
        <v>3.012</v>
      </c>
      <c r="O117" s="36">
        <v>6.4640000000000004</v>
      </c>
      <c r="P117" s="35">
        <v>8149000000</v>
      </c>
      <c r="Q117" s="36">
        <v>17380000</v>
      </c>
      <c r="R117" s="36">
        <v>20380000</v>
      </c>
      <c r="S117" s="72">
        <v>370.5</v>
      </c>
      <c r="T117" s="86">
        <v>30530</v>
      </c>
      <c r="U117" s="35">
        <v>275600000</v>
      </c>
      <c r="V117" s="36">
        <v>1767000</v>
      </c>
      <c r="W117" s="36">
        <v>2832000</v>
      </c>
      <c r="X117" s="36">
        <v>68.099999999999994</v>
      </c>
      <c r="Y117" s="35">
        <v>173.1</v>
      </c>
      <c r="Z117" s="36">
        <v>42560000</v>
      </c>
      <c r="AA117" s="36">
        <v>53400000000000</v>
      </c>
      <c r="AB117" s="35">
        <v>1</v>
      </c>
      <c r="AC117" s="36">
        <v>1</v>
      </c>
      <c r="AD117" s="36">
        <v>1</v>
      </c>
      <c r="AE117" s="35">
        <v>1</v>
      </c>
      <c r="AF117" s="36">
        <v>1</v>
      </c>
      <c r="AG117" s="36">
        <v>2</v>
      </c>
    </row>
    <row r="118" spans="1:33" x14ac:dyDescent="0.45">
      <c r="A118" s="40" t="s">
        <v>237</v>
      </c>
      <c r="B118" s="36">
        <v>222</v>
      </c>
      <c r="C118" s="35">
        <v>970</v>
      </c>
      <c r="D118" s="36">
        <v>300</v>
      </c>
      <c r="E118" s="36">
        <v>16</v>
      </c>
      <c r="F118" s="36">
        <v>21</v>
      </c>
      <c r="G118" s="36">
        <v>30</v>
      </c>
      <c r="H118" s="35">
        <v>28220</v>
      </c>
      <c r="I118" s="35">
        <v>928</v>
      </c>
      <c r="J118" s="36">
        <v>868</v>
      </c>
      <c r="K118" s="37" t="s">
        <v>108</v>
      </c>
      <c r="L118" s="36">
        <v>132</v>
      </c>
      <c r="M118" s="36">
        <v>198</v>
      </c>
      <c r="N118" s="35">
        <v>3.056</v>
      </c>
      <c r="O118" s="36">
        <v>13.8</v>
      </c>
      <c r="P118" s="35">
        <v>4065000000</v>
      </c>
      <c r="Q118" s="36">
        <v>8380000</v>
      </c>
      <c r="R118" s="36">
        <v>9777000</v>
      </c>
      <c r="S118" s="72">
        <v>379.5</v>
      </c>
      <c r="T118" s="86">
        <v>17220</v>
      </c>
      <c r="U118" s="35">
        <v>95010000</v>
      </c>
      <c r="V118" s="36">
        <v>633400</v>
      </c>
      <c r="W118" s="36">
        <v>1016000</v>
      </c>
      <c r="X118" s="36">
        <v>58</v>
      </c>
      <c r="Y118" s="35">
        <v>93.15</v>
      </c>
      <c r="Z118" s="36">
        <v>4034000</v>
      </c>
      <c r="AA118" s="36">
        <v>21280000000000</v>
      </c>
      <c r="AB118" s="35">
        <v>1</v>
      </c>
      <c r="AC118" s="36">
        <v>1</v>
      </c>
      <c r="AD118" s="37" t="s">
        <v>34</v>
      </c>
      <c r="AE118" s="35">
        <v>4</v>
      </c>
      <c r="AF118" s="36">
        <v>4</v>
      </c>
      <c r="AG118" s="37" t="s">
        <v>34</v>
      </c>
    </row>
    <row r="119" spans="1:33" x14ac:dyDescent="0.45">
      <c r="A119" s="43" t="s">
        <v>238</v>
      </c>
      <c r="B119" s="31">
        <v>249</v>
      </c>
      <c r="C119" s="30">
        <v>980</v>
      </c>
      <c r="D119" s="31">
        <v>300</v>
      </c>
      <c r="E119" s="31">
        <v>16.5</v>
      </c>
      <c r="F119" s="31">
        <v>26</v>
      </c>
      <c r="G119" s="31">
        <v>30</v>
      </c>
      <c r="H119" s="30">
        <v>31680</v>
      </c>
      <c r="I119" s="30">
        <v>928</v>
      </c>
      <c r="J119" s="31">
        <v>868</v>
      </c>
      <c r="K119" s="32" t="s">
        <v>110</v>
      </c>
      <c r="L119" s="31">
        <v>134</v>
      </c>
      <c r="M119" s="31">
        <v>194</v>
      </c>
      <c r="N119" s="30">
        <v>3.08</v>
      </c>
      <c r="O119" s="31">
        <v>12.37</v>
      </c>
      <c r="P119" s="30">
        <v>4811000000</v>
      </c>
      <c r="Q119" s="31">
        <v>9818000</v>
      </c>
      <c r="R119" s="31">
        <v>11350000</v>
      </c>
      <c r="S119" s="70">
        <v>389.7</v>
      </c>
      <c r="T119" s="84">
        <v>18070</v>
      </c>
      <c r="U119" s="30">
        <v>117500000</v>
      </c>
      <c r="V119" s="31">
        <v>784000</v>
      </c>
      <c r="W119" s="31">
        <v>1245000</v>
      </c>
      <c r="X119" s="31">
        <v>60.9</v>
      </c>
      <c r="Y119" s="30">
        <v>103.6</v>
      </c>
      <c r="Z119" s="31">
        <v>5844000</v>
      </c>
      <c r="AA119" s="31">
        <v>26620000000000</v>
      </c>
      <c r="AB119" s="30">
        <v>1</v>
      </c>
      <c r="AC119" s="31">
        <v>1</v>
      </c>
      <c r="AD119" s="31">
        <v>2</v>
      </c>
      <c r="AE119" s="30">
        <v>4</v>
      </c>
      <c r="AF119" s="31">
        <v>4</v>
      </c>
      <c r="AG119" s="31">
        <v>4</v>
      </c>
    </row>
    <row r="120" spans="1:33" x14ac:dyDescent="0.45">
      <c r="A120" s="40" t="s">
        <v>239</v>
      </c>
      <c r="B120" s="36">
        <v>272</v>
      </c>
      <c r="C120" s="35">
        <v>990</v>
      </c>
      <c r="D120" s="36">
        <v>300</v>
      </c>
      <c r="E120" s="36">
        <v>16.5</v>
      </c>
      <c r="F120" s="36">
        <v>31</v>
      </c>
      <c r="G120" s="36">
        <v>30</v>
      </c>
      <c r="H120" s="35">
        <v>34680</v>
      </c>
      <c r="I120" s="35">
        <v>928</v>
      </c>
      <c r="J120" s="36">
        <v>868</v>
      </c>
      <c r="K120" s="37" t="s">
        <v>108</v>
      </c>
      <c r="L120" s="36">
        <v>132</v>
      </c>
      <c r="M120" s="36">
        <v>198</v>
      </c>
      <c r="N120" s="35">
        <v>3.0950000000000002</v>
      </c>
      <c r="O120" s="36">
        <v>11.37</v>
      </c>
      <c r="P120" s="35">
        <v>5538000000</v>
      </c>
      <c r="Q120" s="36">
        <v>11190000</v>
      </c>
      <c r="R120" s="36">
        <v>12820000</v>
      </c>
      <c r="S120" s="72">
        <v>399.6</v>
      </c>
      <c r="T120" s="86">
        <v>18460</v>
      </c>
      <c r="U120" s="35">
        <v>140000000</v>
      </c>
      <c r="V120" s="36">
        <v>933600</v>
      </c>
      <c r="W120" s="36">
        <v>1470000</v>
      </c>
      <c r="X120" s="36">
        <v>63.5</v>
      </c>
      <c r="Y120" s="35">
        <v>113.6</v>
      </c>
      <c r="Z120" s="36">
        <v>8224000</v>
      </c>
      <c r="AA120" s="36">
        <v>32070000000000</v>
      </c>
      <c r="AB120" s="35">
        <v>1</v>
      </c>
      <c r="AC120" s="36">
        <v>1</v>
      </c>
      <c r="AD120" s="36">
        <v>2</v>
      </c>
      <c r="AE120" s="35">
        <v>4</v>
      </c>
      <c r="AF120" s="36">
        <v>4</v>
      </c>
      <c r="AG120" s="36">
        <v>4</v>
      </c>
    </row>
    <row r="121" spans="1:33" x14ac:dyDescent="0.45">
      <c r="A121" s="33" t="s">
        <v>240</v>
      </c>
      <c r="B121" s="31">
        <v>314</v>
      </c>
      <c r="C121" s="30">
        <v>1000</v>
      </c>
      <c r="D121" s="31">
        <v>300</v>
      </c>
      <c r="E121" s="31">
        <v>19</v>
      </c>
      <c r="F121" s="31">
        <v>36</v>
      </c>
      <c r="G121" s="31">
        <v>30</v>
      </c>
      <c r="H121" s="30">
        <v>40000</v>
      </c>
      <c r="I121" s="30">
        <v>928</v>
      </c>
      <c r="J121" s="31">
        <v>868</v>
      </c>
      <c r="K121" s="32" t="s">
        <v>110</v>
      </c>
      <c r="L121" s="31">
        <v>134</v>
      </c>
      <c r="M121" s="31">
        <v>198</v>
      </c>
      <c r="N121" s="30">
        <v>3.11</v>
      </c>
      <c r="O121" s="31">
        <v>9.9049999999999994</v>
      </c>
      <c r="P121" s="30">
        <v>6447000000</v>
      </c>
      <c r="Q121" s="31">
        <v>12890000</v>
      </c>
      <c r="R121" s="31">
        <v>14860000</v>
      </c>
      <c r="S121" s="70">
        <v>401.5</v>
      </c>
      <c r="T121" s="84">
        <v>21250</v>
      </c>
      <c r="U121" s="30">
        <v>162800000</v>
      </c>
      <c r="V121" s="31">
        <v>1085000</v>
      </c>
      <c r="W121" s="31">
        <v>1716000</v>
      </c>
      <c r="X121" s="31">
        <v>63.8</v>
      </c>
      <c r="Y121" s="30">
        <v>126.1</v>
      </c>
      <c r="Z121" s="31">
        <v>12540000</v>
      </c>
      <c r="AA121" s="31">
        <v>37640000000000</v>
      </c>
      <c r="AB121" s="30">
        <v>1</v>
      </c>
      <c r="AC121" s="31">
        <v>1</v>
      </c>
      <c r="AD121" s="31">
        <v>1</v>
      </c>
      <c r="AE121" s="30">
        <v>4</v>
      </c>
      <c r="AF121" s="31">
        <v>4</v>
      </c>
      <c r="AG121" s="31">
        <v>4</v>
      </c>
    </row>
    <row r="122" spans="1:33" x14ac:dyDescent="0.45">
      <c r="A122" s="40" t="s">
        <v>241</v>
      </c>
      <c r="B122" s="36">
        <v>349</v>
      </c>
      <c r="C122" s="35">
        <v>1008</v>
      </c>
      <c r="D122" s="36">
        <v>302</v>
      </c>
      <c r="E122" s="36">
        <v>21</v>
      </c>
      <c r="F122" s="36">
        <v>40</v>
      </c>
      <c r="G122" s="36">
        <v>30</v>
      </c>
      <c r="H122" s="35">
        <v>44420</v>
      </c>
      <c r="I122" s="35">
        <v>928</v>
      </c>
      <c r="J122" s="36">
        <v>868</v>
      </c>
      <c r="K122" s="37" t="s">
        <v>108</v>
      </c>
      <c r="L122" s="36">
        <v>138</v>
      </c>
      <c r="M122" s="36">
        <v>198</v>
      </c>
      <c r="N122" s="35">
        <v>3.13</v>
      </c>
      <c r="O122" s="36">
        <v>8.9779999999999998</v>
      </c>
      <c r="P122" s="35">
        <v>7223000000</v>
      </c>
      <c r="Q122" s="36">
        <v>14330000</v>
      </c>
      <c r="R122" s="36">
        <v>16570000</v>
      </c>
      <c r="S122" s="72">
        <v>403.2</v>
      </c>
      <c r="T122" s="86">
        <v>23500</v>
      </c>
      <c r="U122" s="35">
        <v>184600000</v>
      </c>
      <c r="V122" s="36">
        <v>1222000</v>
      </c>
      <c r="W122" s="36">
        <v>1940000</v>
      </c>
      <c r="X122" s="36">
        <v>64.5</v>
      </c>
      <c r="Y122" s="35">
        <v>136.1</v>
      </c>
      <c r="Z122" s="36">
        <v>17010000</v>
      </c>
      <c r="AA122" s="36">
        <v>43020000000000</v>
      </c>
      <c r="AB122" s="35">
        <v>1</v>
      </c>
      <c r="AC122" s="36">
        <v>1</v>
      </c>
      <c r="AD122" s="36">
        <v>1</v>
      </c>
      <c r="AE122" s="35">
        <v>3</v>
      </c>
      <c r="AF122" s="36">
        <v>4</v>
      </c>
      <c r="AG122" s="36">
        <v>4</v>
      </c>
    </row>
    <row r="123" spans="1:33" x14ac:dyDescent="0.45">
      <c r="A123" s="43" t="s">
        <v>242</v>
      </c>
      <c r="B123" s="31">
        <v>393</v>
      </c>
      <c r="C123" s="30">
        <v>1016</v>
      </c>
      <c r="D123" s="31">
        <v>303</v>
      </c>
      <c r="E123" s="31">
        <v>24.4</v>
      </c>
      <c r="F123" s="31">
        <v>43.9</v>
      </c>
      <c r="G123" s="31">
        <v>30</v>
      </c>
      <c r="H123" s="30">
        <v>50020</v>
      </c>
      <c r="I123" s="30">
        <v>928</v>
      </c>
      <c r="J123" s="31">
        <v>868</v>
      </c>
      <c r="K123" s="32" t="s">
        <v>110</v>
      </c>
      <c r="L123" s="31">
        <v>142</v>
      </c>
      <c r="M123" s="31">
        <v>198</v>
      </c>
      <c r="N123" s="30">
        <v>3.14</v>
      </c>
      <c r="O123" s="31">
        <v>8.01</v>
      </c>
      <c r="P123" s="30">
        <v>8077000000</v>
      </c>
      <c r="Q123" s="31">
        <v>15900000</v>
      </c>
      <c r="R123" s="31">
        <v>18540000</v>
      </c>
      <c r="S123" s="70">
        <v>401.8</v>
      </c>
      <c r="T123" s="84">
        <v>27130</v>
      </c>
      <c r="U123" s="30">
        <v>205000000</v>
      </c>
      <c r="V123" s="31">
        <v>1353000</v>
      </c>
      <c r="W123" s="31">
        <v>2168000</v>
      </c>
      <c r="X123" s="31">
        <v>64</v>
      </c>
      <c r="Y123" s="30">
        <v>147.30000000000001</v>
      </c>
      <c r="Z123" s="31">
        <v>23320000</v>
      </c>
      <c r="AA123" s="31">
        <v>48080000000000</v>
      </c>
      <c r="AB123" s="30">
        <v>1</v>
      </c>
      <c r="AC123" s="31">
        <v>1</v>
      </c>
      <c r="AD123" s="31">
        <v>1</v>
      </c>
      <c r="AE123" s="30">
        <v>2</v>
      </c>
      <c r="AF123" s="31">
        <v>4</v>
      </c>
      <c r="AG123" s="31">
        <v>4</v>
      </c>
    </row>
    <row r="124" spans="1:33" x14ac:dyDescent="0.45">
      <c r="A124" s="40" t="s">
        <v>243</v>
      </c>
      <c r="B124" s="36">
        <v>415</v>
      </c>
      <c r="C124" s="35">
        <v>1020</v>
      </c>
      <c r="D124" s="36">
        <v>304</v>
      </c>
      <c r="E124" s="36">
        <v>26</v>
      </c>
      <c r="F124" s="36">
        <v>46</v>
      </c>
      <c r="G124" s="36">
        <v>30</v>
      </c>
      <c r="H124" s="35">
        <v>52870.000000000007</v>
      </c>
      <c r="I124" s="35">
        <v>928</v>
      </c>
      <c r="J124" s="36">
        <v>868</v>
      </c>
      <c r="K124" s="37" t="s">
        <v>108</v>
      </c>
      <c r="L124" s="36">
        <v>144</v>
      </c>
      <c r="M124" s="36">
        <v>198</v>
      </c>
      <c r="N124" s="35">
        <v>3.15</v>
      </c>
      <c r="O124" s="36">
        <v>7.6</v>
      </c>
      <c r="P124" s="35">
        <v>8531000000</v>
      </c>
      <c r="Q124" s="36">
        <v>16728000</v>
      </c>
      <c r="R124" s="36">
        <v>19571000</v>
      </c>
      <c r="S124" s="72">
        <v>401.70000000000005</v>
      </c>
      <c r="T124" s="86">
        <v>28860.000000000004</v>
      </c>
      <c r="U124" s="35">
        <v>217100000</v>
      </c>
      <c r="V124" s="36">
        <v>1428000</v>
      </c>
      <c r="W124" s="36">
        <v>2298000</v>
      </c>
      <c r="X124" s="36">
        <v>64.099999999999994</v>
      </c>
      <c r="Y124" s="35">
        <v>153.1</v>
      </c>
      <c r="Z124" s="36">
        <v>27130000</v>
      </c>
      <c r="AA124" s="36">
        <v>51080000000000</v>
      </c>
      <c r="AB124" s="35">
        <v>1</v>
      </c>
      <c r="AC124" s="36">
        <v>1</v>
      </c>
      <c r="AD124" s="36">
        <v>1</v>
      </c>
      <c r="AE124" s="35">
        <v>2</v>
      </c>
      <c r="AF124" s="36">
        <v>3</v>
      </c>
      <c r="AG124" s="36">
        <v>4</v>
      </c>
    </row>
    <row r="125" spans="1:33" x14ac:dyDescent="0.45">
      <c r="A125" s="43" t="s">
        <v>244</v>
      </c>
      <c r="B125" s="31">
        <v>438</v>
      </c>
      <c r="C125" s="30">
        <v>1026</v>
      </c>
      <c r="D125" s="31">
        <v>305</v>
      </c>
      <c r="E125" s="31">
        <v>26.9</v>
      </c>
      <c r="F125" s="31">
        <v>49</v>
      </c>
      <c r="G125" s="31">
        <v>30</v>
      </c>
      <c r="H125" s="30">
        <v>55600</v>
      </c>
      <c r="I125" s="30">
        <v>928</v>
      </c>
      <c r="J125" s="31">
        <v>868</v>
      </c>
      <c r="K125" s="32" t="s">
        <v>110</v>
      </c>
      <c r="L125" s="31">
        <v>146</v>
      </c>
      <c r="M125" s="31">
        <v>198</v>
      </c>
      <c r="N125" s="30">
        <v>3.17</v>
      </c>
      <c r="O125" s="31">
        <v>7.25</v>
      </c>
      <c r="P125" s="30">
        <v>9092000000</v>
      </c>
      <c r="Q125" s="31">
        <v>17720000</v>
      </c>
      <c r="R125" s="31">
        <v>20750000</v>
      </c>
      <c r="S125" s="70">
        <v>404.3</v>
      </c>
      <c r="T125" s="84">
        <v>29989.999999999996</v>
      </c>
      <c r="U125" s="30">
        <v>233600000</v>
      </c>
      <c r="V125" s="31">
        <v>1531000</v>
      </c>
      <c r="W125" s="31">
        <v>2463000</v>
      </c>
      <c r="X125" s="31">
        <v>64.800000000000011</v>
      </c>
      <c r="Y125" s="30">
        <v>160</v>
      </c>
      <c r="Z125" s="31">
        <v>31900000</v>
      </c>
      <c r="AA125" s="31">
        <v>55290000000000</v>
      </c>
      <c r="AB125" s="30">
        <v>1</v>
      </c>
      <c r="AC125" s="31">
        <v>1</v>
      </c>
      <c r="AD125" s="31">
        <v>1</v>
      </c>
      <c r="AE125" s="30">
        <v>1</v>
      </c>
      <c r="AF125" s="31">
        <v>3</v>
      </c>
      <c r="AG125" s="31">
        <v>4</v>
      </c>
    </row>
    <row r="126" spans="1:33" x14ac:dyDescent="0.45">
      <c r="A126" s="40" t="s">
        <v>245</v>
      </c>
      <c r="B126" s="36">
        <v>494</v>
      </c>
      <c r="C126" s="35">
        <v>1036</v>
      </c>
      <c r="D126" s="36">
        <v>309</v>
      </c>
      <c r="E126" s="36">
        <v>31</v>
      </c>
      <c r="F126" s="36">
        <v>54</v>
      </c>
      <c r="G126" s="36">
        <v>30</v>
      </c>
      <c r="H126" s="35">
        <v>62910</v>
      </c>
      <c r="I126" s="35">
        <v>928</v>
      </c>
      <c r="J126" s="36">
        <v>868</v>
      </c>
      <c r="K126" s="37" t="s">
        <v>108</v>
      </c>
      <c r="L126" s="36">
        <v>148</v>
      </c>
      <c r="M126" s="36">
        <v>204</v>
      </c>
      <c r="N126" s="35">
        <v>3.19</v>
      </c>
      <c r="O126" s="36">
        <v>6.47</v>
      </c>
      <c r="P126" s="35">
        <v>10280000000</v>
      </c>
      <c r="Q126" s="36">
        <v>19845000</v>
      </c>
      <c r="R126" s="36">
        <v>23413000</v>
      </c>
      <c r="S126" s="72">
        <v>404.20000000000005</v>
      </c>
      <c r="T126" s="86">
        <v>34450</v>
      </c>
      <c r="U126" s="35">
        <v>268200000</v>
      </c>
      <c r="V126" s="36">
        <v>1736000</v>
      </c>
      <c r="W126" s="36">
        <v>2818000</v>
      </c>
      <c r="X126" s="36">
        <v>65.3</v>
      </c>
      <c r="Y126" s="35">
        <v>174.1</v>
      </c>
      <c r="Z126" s="36">
        <v>44330000</v>
      </c>
      <c r="AA126" s="36">
        <v>64010000000000</v>
      </c>
      <c r="AB126" s="35">
        <v>1</v>
      </c>
      <c r="AC126" s="36">
        <v>1</v>
      </c>
      <c r="AD126" s="36">
        <v>1</v>
      </c>
      <c r="AE126" s="35">
        <v>1</v>
      </c>
      <c r="AF126" s="36">
        <v>2</v>
      </c>
      <c r="AG126" s="36">
        <v>3</v>
      </c>
    </row>
    <row r="127" spans="1:33" x14ac:dyDescent="0.45">
      <c r="A127" s="44" t="s">
        <v>246</v>
      </c>
      <c r="B127" s="42">
        <v>584</v>
      </c>
      <c r="C127" s="41">
        <v>1056</v>
      </c>
      <c r="D127" s="42">
        <v>314</v>
      </c>
      <c r="E127" s="42">
        <v>36</v>
      </c>
      <c r="F127" s="42">
        <v>64</v>
      </c>
      <c r="G127" s="42">
        <v>30</v>
      </c>
      <c r="H127" s="41">
        <v>74370</v>
      </c>
      <c r="I127" s="41">
        <v>928</v>
      </c>
      <c r="J127" s="42">
        <v>868</v>
      </c>
      <c r="K127" s="45" t="s">
        <v>110</v>
      </c>
      <c r="L127" s="42">
        <v>154</v>
      </c>
      <c r="M127" s="42">
        <v>208</v>
      </c>
      <c r="N127" s="41">
        <v>3.24</v>
      </c>
      <c r="O127" s="42">
        <v>5.56</v>
      </c>
      <c r="P127" s="41">
        <v>12461000000</v>
      </c>
      <c r="Q127" s="42">
        <v>23600000</v>
      </c>
      <c r="R127" s="42">
        <v>28039000</v>
      </c>
      <c r="S127" s="89">
        <v>409.3</v>
      </c>
      <c r="T127" s="90">
        <v>40320</v>
      </c>
      <c r="U127" s="41">
        <v>334300000</v>
      </c>
      <c r="V127" s="42">
        <v>2130000</v>
      </c>
      <c r="W127" s="42">
        <v>3475000</v>
      </c>
      <c r="X127" s="42">
        <v>67</v>
      </c>
      <c r="Y127" s="41">
        <v>199.1</v>
      </c>
      <c r="Z127" s="42">
        <v>72300000</v>
      </c>
      <c r="AA127" s="42">
        <v>81240000000000</v>
      </c>
      <c r="AB127" s="41">
        <v>1</v>
      </c>
      <c r="AC127" s="42">
        <v>1</v>
      </c>
      <c r="AD127" s="42">
        <v>1</v>
      </c>
      <c r="AE127" s="41">
        <v>1</v>
      </c>
      <c r="AF127" s="42">
        <v>1</v>
      </c>
      <c r="AG127" s="42">
        <v>2</v>
      </c>
    </row>
  </sheetData>
  <pageMargins left="0.7" right="0.7" top="0.75" bottom="0.75" header="0.3" footer="0.3"/>
  <pageSetup paperSize="205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2"/>
  <dimension ref="A1:AM23"/>
  <sheetViews>
    <sheetView topLeftCell="X1" zoomScale="85" zoomScaleNormal="85" workbookViewId="0">
      <selection activeCell="AB2" sqref="AB2:AE2"/>
    </sheetView>
  </sheetViews>
  <sheetFormatPr baseColWidth="10" defaultColWidth="9.1328125" defaultRowHeight="14.25" x14ac:dyDescent="0.45"/>
  <cols>
    <col min="1" max="1" width="10" style="51" bestFit="1" customWidth="1"/>
    <col min="2" max="2" width="10.86328125" style="51" bestFit="1" customWidth="1"/>
    <col min="3" max="4" width="11.265625" style="51" bestFit="1" customWidth="1"/>
    <col min="5" max="5" width="9.3984375" style="51" bestFit="1" customWidth="1"/>
    <col min="6" max="6" width="10" style="51" bestFit="1" customWidth="1"/>
    <col min="7" max="7" width="9.3984375" style="51" bestFit="1" customWidth="1"/>
    <col min="8" max="8" width="12.59765625" style="51" bestFit="1" customWidth="1"/>
    <col min="9" max="9" width="11" style="51" bestFit="1" customWidth="1"/>
    <col min="10" max="10" width="11.265625" style="51" bestFit="1" customWidth="1"/>
    <col min="11" max="11" width="5.59765625" style="51" bestFit="1" customWidth="1"/>
    <col min="12" max="13" width="10.86328125" style="51" bestFit="1" customWidth="1"/>
    <col min="14" max="15" width="10" style="51" bestFit="1" customWidth="1"/>
    <col min="16" max="16" width="21.73046875" style="51" bestFit="1" customWidth="1"/>
    <col min="17" max="18" width="17.59765625" style="51" bestFit="1" customWidth="1"/>
    <col min="19" max="19" width="11.265625" style="51" bestFit="1" customWidth="1"/>
    <col min="20" max="20" width="13.86328125" style="51" bestFit="1" customWidth="1"/>
    <col min="21" max="21" width="18.86328125" style="51" bestFit="1" customWidth="1"/>
    <col min="22" max="22" width="15.73046875" style="51" bestFit="1" customWidth="1"/>
    <col min="23" max="23" width="15.3984375" style="51" bestFit="1" customWidth="1"/>
    <col min="24" max="24" width="10" style="51" bestFit="1" customWidth="1"/>
    <col min="25" max="25" width="10.59765625" style="51" bestFit="1" customWidth="1"/>
    <col min="26" max="26" width="17.59765625" style="51" bestFit="1" customWidth="1"/>
    <col min="27" max="27" width="26.59765625" style="51" bestFit="1" customWidth="1"/>
    <col min="28" max="31" width="10" style="51" bestFit="1" customWidth="1"/>
    <col min="32" max="16384" width="9.1328125" style="51"/>
  </cols>
  <sheetData>
    <row r="1" spans="1:39" ht="15.75" x14ac:dyDescent="0.45">
      <c r="A1" s="25" t="s">
        <v>1</v>
      </c>
      <c r="B1" s="25" t="s">
        <v>2</v>
      </c>
      <c r="C1" s="25" t="s">
        <v>247</v>
      </c>
      <c r="D1" s="25" t="s">
        <v>4</v>
      </c>
      <c r="E1" s="25" t="s">
        <v>116</v>
      </c>
      <c r="F1" s="25" t="s">
        <v>6</v>
      </c>
      <c r="G1" s="25" t="s">
        <v>7</v>
      </c>
      <c r="H1" s="25" t="s">
        <v>8</v>
      </c>
      <c r="I1" s="25" t="s">
        <v>9</v>
      </c>
      <c r="J1" s="25" t="s">
        <v>10</v>
      </c>
      <c r="K1" s="25" t="s">
        <v>117</v>
      </c>
      <c r="L1" s="25" t="s">
        <v>118</v>
      </c>
      <c r="M1" s="25" t="s">
        <v>119</v>
      </c>
      <c r="N1" s="25" t="s">
        <v>14</v>
      </c>
      <c r="O1" s="25" t="s">
        <v>15</v>
      </c>
      <c r="P1" s="25" t="s">
        <v>16</v>
      </c>
      <c r="Q1" s="25" t="s">
        <v>17</v>
      </c>
      <c r="R1" s="25" t="s">
        <v>18</v>
      </c>
      <c r="S1" s="25" t="s">
        <v>19</v>
      </c>
      <c r="T1" s="25" t="s">
        <v>20</v>
      </c>
      <c r="U1" s="25" t="s">
        <v>21</v>
      </c>
      <c r="V1" s="25" t="s">
        <v>22</v>
      </c>
      <c r="W1" s="25" t="s">
        <v>23</v>
      </c>
      <c r="X1" s="25" t="s">
        <v>24</v>
      </c>
      <c r="Y1" s="25" t="s">
        <v>120</v>
      </c>
      <c r="Z1" s="25" t="s">
        <v>26</v>
      </c>
      <c r="AA1" s="25" t="s">
        <v>27</v>
      </c>
      <c r="AB1" s="49" t="s">
        <v>28</v>
      </c>
      <c r="AC1" s="49" t="s">
        <v>29</v>
      </c>
      <c r="AD1" s="49" t="s">
        <v>28</v>
      </c>
      <c r="AE1" s="49" t="s">
        <v>29</v>
      </c>
    </row>
    <row r="2" spans="1:39" s="92" customFormat="1" ht="32.25" x14ac:dyDescent="0.45">
      <c r="A2" s="25" t="s">
        <v>731</v>
      </c>
      <c r="B2" s="25" t="s">
        <v>31</v>
      </c>
      <c r="C2" s="25" t="s">
        <v>32</v>
      </c>
      <c r="D2" s="25" t="s">
        <v>32</v>
      </c>
      <c r="E2" s="25" t="s">
        <v>32</v>
      </c>
      <c r="F2" s="25" t="s">
        <v>32</v>
      </c>
      <c r="G2" s="25" t="s">
        <v>32</v>
      </c>
      <c r="H2" s="25" t="s">
        <v>33</v>
      </c>
      <c r="I2" s="25" t="s">
        <v>32</v>
      </c>
      <c r="J2" s="25" t="s">
        <v>32</v>
      </c>
      <c r="K2" s="25" t="s">
        <v>34</v>
      </c>
      <c r="L2" s="25" t="s">
        <v>32</v>
      </c>
      <c r="M2" s="25" t="s">
        <v>32</v>
      </c>
      <c r="N2" s="25" t="s">
        <v>35</v>
      </c>
      <c r="O2" s="25" t="s">
        <v>36</v>
      </c>
      <c r="P2" s="25" t="s">
        <v>37</v>
      </c>
      <c r="Q2" s="25" t="s">
        <v>38</v>
      </c>
      <c r="R2" s="25" t="s">
        <v>38</v>
      </c>
      <c r="S2" s="25" t="s">
        <v>32</v>
      </c>
      <c r="T2" s="25" t="s">
        <v>33</v>
      </c>
      <c r="U2" s="25" t="s">
        <v>37</v>
      </c>
      <c r="V2" s="25" t="s">
        <v>38</v>
      </c>
      <c r="W2" s="25" t="s">
        <v>38</v>
      </c>
      <c r="X2" s="25" t="s">
        <v>32</v>
      </c>
      <c r="Y2" s="25" t="s">
        <v>32</v>
      </c>
      <c r="Z2" s="25" t="s">
        <v>37</v>
      </c>
      <c r="AA2" s="25" t="s">
        <v>39</v>
      </c>
      <c r="AB2" s="50" t="s">
        <v>732</v>
      </c>
      <c r="AC2" s="50" t="s">
        <v>732</v>
      </c>
      <c r="AD2" s="50" t="s">
        <v>733</v>
      </c>
      <c r="AE2" s="50" t="s">
        <v>733</v>
      </c>
      <c r="AF2" s="91"/>
      <c r="AG2" s="91"/>
    </row>
    <row r="3" spans="1:39" x14ac:dyDescent="0.45">
      <c r="A3" s="29" t="s">
        <v>248</v>
      </c>
      <c r="B3" s="27">
        <v>5.94</v>
      </c>
      <c r="C3" s="26">
        <v>80</v>
      </c>
      <c r="D3" s="27">
        <v>42</v>
      </c>
      <c r="E3" s="27">
        <v>3.9</v>
      </c>
      <c r="F3" s="27">
        <v>5.9</v>
      </c>
      <c r="G3" s="27">
        <v>3.9</v>
      </c>
      <c r="H3" s="27">
        <v>230</v>
      </c>
      <c r="I3" s="26">
        <v>7.57</v>
      </c>
      <c r="J3" s="26">
        <v>59</v>
      </c>
      <c r="K3" s="28">
        <v>0</v>
      </c>
      <c r="L3" s="28">
        <v>0</v>
      </c>
      <c r="M3" s="28">
        <v>0</v>
      </c>
      <c r="N3" s="26">
        <v>0.30399999999999999</v>
      </c>
      <c r="O3" s="27">
        <v>51.09</v>
      </c>
      <c r="P3" s="26">
        <v>778000</v>
      </c>
      <c r="Q3" s="27">
        <v>19500</v>
      </c>
      <c r="R3" s="27">
        <v>22800</v>
      </c>
      <c r="S3" s="27">
        <v>32</v>
      </c>
      <c r="T3" s="27">
        <v>341</v>
      </c>
      <c r="U3" s="26">
        <v>62900</v>
      </c>
      <c r="V3" s="27">
        <v>3000</v>
      </c>
      <c r="W3" s="27">
        <v>5000</v>
      </c>
      <c r="X3" s="27">
        <v>9.1</v>
      </c>
      <c r="Y3" s="26">
        <v>21.6</v>
      </c>
      <c r="Z3" s="27">
        <v>8700</v>
      </c>
      <c r="AA3" s="27">
        <v>90000000</v>
      </c>
      <c r="AB3" s="26">
        <v>1</v>
      </c>
      <c r="AC3" s="27">
        <v>1</v>
      </c>
      <c r="AD3" s="26">
        <v>1</v>
      </c>
      <c r="AE3" s="27">
        <v>1</v>
      </c>
    </row>
    <row r="4" spans="1:39" x14ac:dyDescent="0.45">
      <c r="A4" s="40" t="s">
        <v>249</v>
      </c>
      <c r="B4" s="36">
        <v>8.34</v>
      </c>
      <c r="C4" s="35">
        <v>100</v>
      </c>
      <c r="D4" s="36">
        <v>50</v>
      </c>
      <c r="E4" s="36">
        <v>4.5</v>
      </c>
      <c r="F4" s="36">
        <v>6.8</v>
      </c>
      <c r="G4" s="36">
        <v>4.5</v>
      </c>
      <c r="H4" s="36">
        <v>270</v>
      </c>
      <c r="I4" s="35">
        <v>10.6</v>
      </c>
      <c r="J4" s="35">
        <v>75.7</v>
      </c>
      <c r="K4" s="37">
        <v>0</v>
      </c>
      <c r="L4" s="37">
        <v>0</v>
      </c>
      <c r="M4" s="37">
        <v>0</v>
      </c>
      <c r="N4" s="35">
        <v>0.37</v>
      </c>
      <c r="O4" s="36">
        <v>44.47</v>
      </c>
      <c r="P4" s="35">
        <v>1710000</v>
      </c>
      <c r="Q4" s="36">
        <v>34200</v>
      </c>
      <c r="R4" s="36">
        <v>39800</v>
      </c>
      <c r="S4" s="36">
        <v>40.099999999999994</v>
      </c>
      <c r="T4" s="36">
        <v>484.99999999999994</v>
      </c>
      <c r="U4" s="35">
        <v>122000</v>
      </c>
      <c r="V4" s="36">
        <v>4880</v>
      </c>
      <c r="W4" s="36">
        <v>8100</v>
      </c>
      <c r="X4" s="36">
        <v>10.700000000000001</v>
      </c>
      <c r="Y4" s="35">
        <v>25</v>
      </c>
      <c r="Z4" s="36">
        <v>16000</v>
      </c>
      <c r="AA4" s="36">
        <v>270000000</v>
      </c>
      <c r="AB4" s="35">
        <v>1</v>
      </c>
      <c r="AC4" s="36">
        <v>1</v>
      </c>
      <c r="AD4" s="35">
        <v>1</v>
      </c>
      <c r="AE4" s="36">
        <v>1</v>
      </c>
    </row>
    <row r="5" spans="1:39" x14ac:dyDescent="0.45">
      <c r="A5" s="43" t="s">
        <v>250</v>
      </c>
      <c r="B5" s="31">
        <v>11.1</v>
      </c>
      <c r="C5" s="30">
        <v>120</v>
      </c>
      <c r="D5" s="31">
        <v>58</v>
      </c>
      <c r="E5" s="31">
        <v>5.0999999999999996</v>
      </c>
      <c r="F5" s="31">
        <v>7.7</v>
      </c>
      <c r="G5" s="31">
        <v>5.0999999999999996</v>
      </c>
      <c r="H5" s="31">
        <v>310</v>
      </c>
      <c r="I5" s="30">
        <v>14.2</v>
      </c>
      <c r="J5" s="30">
        <v>92.4</v>
      </c>
      <c r="K5" s="32">
        <v>0</v>
      </c>
      <c r="L5" s="32">
        <v>0</v>
      </c>
      <c r="M5" s="32">
        <v>0</v>
      </c>
      <c r="N5" s="30">
        <v>0.439</v>
      </c>
      <c r="O5" s="31">
        <v>39.380000000000003</v>
      </c>
      <c r="P5" s="30">
        <v>3280000</v>
      </c>
      <c r="Q5" s="31">
        <v>54700</v>
      </c>
      <c r="R5" s="31">
        <v>63600</v>
      </c>
      <c r="S5" s="31">
        <v>48.099999999999994</v>
      </c>
      <c r="T5" s="31">
        <v>663</v>
      </c>
      <c r="U5" s="30">
        <v>215000</v>
      </c>
      <c r="V5" s="31">
        <v>7410</v>
      </c>
      <c r="W5" s="31">
        <v>12400</v>
      </c>
      <c r="X5" s="31">
        <v>12.3</v>
      </c>
      <c r="Y5" s="30">
        <v>28.4</v>
      </c>
      <c r="Z5" s="31">
        <v>27100</v>
      </c>
      <c r="AA5" s="31">
        <v>690000000</v>
      </c>
      <c r="AB5" s="30">
        <v>1</v>
      </c>
      <c r="AC5" s="31">
        <v>1</v>
      </c>
      <c r="AD5" s="30">
        <v>1</v>
      </c>
      <c r="AE5" s="31">
        <v>1</v>
      </c>
    </row>
    <row r="6" spans="1:39" x14ac:dyDescent="0.45">
      <c r="A6" s="40" t="s">
        <v>251</v>
      </c>
      <c r="B6" s="36">
        <v>14.3</v>
      </c>
      <c r="C6" s="35">
        <v>140</v>
      </c>
      <c r="D6" s="36">
        <v>66</v>
      </c>
      <c r="E6" s="36">
        <v>5.7</v>
      </c>
      <c r="F6" s="36">
        <v>8.6</v>
      </c>
      <c r="G6" s="36">
        <v>5.7</v>
      </c>
      <c r="H6" s="36">
        <v>340</v>
      </c>
      <c r="I6" s="35">
        <v>18.2</v>
      </c>
      <c r="J6" s="35">
        <v>109.1</v>
      </c>
      <c r="K6" s="37">
        <v>0</v>
      </c>
      <c r="L6" s="37">
        <v>0</v>
      </c>
      <c r="M6" s="37">
        <v>0</v>
      </c>
      <c r="N6" s="35">
        <v>0.502</v>
      </c>
      <c r="O6" s="36">
        <v>34.94</v>
      </c>
      <c r="P6" s="35">
        <v>5730000</v>
      </c>
      <c r="Q6" s="36">
        <v>81900</v>
      </c>
      <c r="R6" s="36">
        <v>95400</v>
      </c>
      <c r="S6" s="36">
        <v>56.1</v>
      </c>
      <c r="T6" s="36">
        <v>865</v>
      </c>
      <c r="U6" s="35">
        <v>352000</v>
      </c>
      <c r="V6" s="36">
        <v>10700</v>
      </c>
      <c r="W6" s="36">
        <v>17900</v>
      </c>
      <c r="X6" s="36">
        <v>14</v>
      </c>
      <c r="Y6" s="35">
        <v>31.8</v>
      </c>
      <c r="Z6" s="36">
        <v>43200</v>
      </c>
      <c r="AA6" s="36">
        <v>1540000000</v>
      </c>
      <c r="AB6" s="35">
        <v>1</v>
      </c>
      <c r="AC6" s="36">
        <v>1</v>
      </c>
      <c r="AD6" s="35">
        <v>1</v>
      </c>
      <c r="AE6" s="36">
        <v>1</v>
      </c>
    </row>
    <row r="7" spans="1:39" x14ac:dyDescent="0.45">
      <c r="A7" s="43" t="s">
        <v>252</v>
      </c>
      <c r="B7" s="31">
        <v>17.899999999999999</v>
      </c>
      <c r="C7" s="30">
        <v>160</v>
      </c>
      <c r="D7" s="31">
        <v>74</v>
      </c>
      <c r="E7" s="31">
        <v>6.3</v>
      </c>
      <c r="F7" s="31">
        <v>9.5</v>
      </c>
      <c r="G7" s="31">
        <v>6.3</v>
      </c>
      <c r="H7" s="31">
        <v>380</v>
      </c>
      <c r="I7" s="30">
        <v>22.8</v>
      </c>
      <c r="J7" s="30">
        <v>125.8</v>
      </c>
      <c r="K7" s="32">
        <v>0</v>
      </c>
      <c r="L7" s="32">
        <v>0</v>
      </c>
      <c r="M7" s="32">
        <v>0</v>
      </c>
      <c r="N7" s="30">
        <v>0.57499999999999996</v>
      </c>
      <c r="O7" s="31">
        <v>32.130000000000003</v>
      </c>
      <c r="P7" s="30">
        <v>9350000</v>
      </c>
      <c r="Q7" s="31">
        <v>117000</v>
      </c>
      <c r="R7" s="31">
        <v>136000</v>
      </c>
      <c r="S7" s="31">
        <v>64</v>
      </c>
      <c r="T7" s="31">
        <v>1083</v>
      </c>
      <c r="U7" s="30">
        <v>547000</v>
      </c>
      <c r="V7" s="31">
        <v>14800</v>
      </c>
      <c r="W7" s="31">
        <v>24900</v>
      </c>
      <c r="X7" s="31">
        <v>15.5</v>
      </c>
      <c r="Y7" s="30">
        <v>35.200000000000003</v>
      </c>
      <c r="Z7" s="31">
        <v>65700</v>
      </c>
      <c r="AA7" s="31">
        <v>3140000000</v>
      </c>
      <c r="AB7" s="30">
        <v>1</v>
      </c>
      <c r="AC7" s="31">
        <v>1</v>
      </c>
      <c r="AD7" s="30">
        <v>1</v>
      </c>
      <c r="AE7" s="31">
        <v>1</v>
      </c>
      <c r="AH7" s="50"/>
      <c r="AI7" s="50"/>
      <c r="AJ7" s="50"/>
      <c r="AK7" s="50"/>
      <c r="AL7" s="50"/>
      <c r="AM7" s="50"/>
    </row>
    <row r="8" spans="1:39" x14ac:dyDescent="0.45">
      <c r="A8" s="40" t="s">
        <v>253</v>
      </c>
      <c r="B8" s="36">
        <v>21.9</v>
      </c>
      <c r="C8" s="35">
        <v>180</v>
      </c>
      <c r="D8" s="36">
        <v>82</v>
      </c>
      <c r="E8" s="36">
        <v>6.9</v>
      </c>
      <c r="F8" s="36">
        <v>10.4</v>
      </c>
      <c r="G8" s="36">
        <v>6.9</v>
      </c>
      <c r="H8" s="36">
        <v>410</v>
      </c>
      <c r="I8" s="35">
        <v>27.9</v>
      </c>
      <c r="J8" s="35">
        <v>142.4</v>
      </c>
      <c r="K8" s="37">
        <v>0</v>
      </c>
      <c r="L8" s="37">
        <v>0</v>
      </c>
      <c r="M8" s="37">
        <v>0</v>
      </c>
      <c r="N8" s="35">
        <v>0.64</v>
      </c>
      <c r="O8" s="36">
        <v>29.22</v>
      </c>
      <c r="P8" s="35">
        <v>14500000</v>
      </c>
      <c r="Q8" s="36">
        <v>161000</v>
      </c>
      <c r="R8" s="36">
        <v>187000</v>
      </c>
      <c r="S8" s="36">
        <v>72</v>
      </c>
      <c r="T8" s="36">
        <v>1335</v>
      </c>
      <c r="U8" s="35">
        <v>813000</v>
      </c>
      <c r="V8" s="36">
        <v>19800</v>
      </c>
      <c r="W8" s="36">
        <v>33200</v>
      </c>
      <c r="X8" s="36">
        <v>17.100000000000001</v>
      </c>
      <c r="Y8" s="35">
        <v>38.6</v>
      </c>
      <c r="Z8" s="36">
        <v>95800</v>
      </c>
      <c r="AA8" s="36">
        <v>5920000000</v>
      </c>
      <c r="AB8" s="35">
        <v>1</v>
      </c>
      <c r="AC8" s="36">
        <v>1</v>
      </c>
      <c r="AD8" s="35">
        <v>1</v>
      </c>
      <c r="AE8" s="36">
        <v>1</v>
      </c>
    </row>
    <row r="9" spans="1:39" x14ac:dyDescent="0.45">
      <c r="A9" s="40" t="s">
        <v>254</v>
      </c>
      <c r="B9" s="36">
        <v>26.2</v>
      </c>
      <c r="C9" s="35">
        <v>200</v>
      </c>
      <c r="D9" s="36">
        <v>90</v>
      </c>
      <c r="E9" s="36">
        <v>7.5</v>
      </c>
      <c r="F9" s="36">
        <v>11.3</v>
      </c>
      <c r="G9" s="36">
        <v>7.5</v>
      </c>
      <c r="H9" s="36">
        <v>450</v>
      </c>
      <c r="I9" s="35">
        <v>33.4</v>
      </c>
      <c r="J9" s="35">
        <v>159.1</v>
      </c>
      <c r="K9" s="37" t="s">
        <v>34</v>
      </c>
      <c r="L9" s="37" t="s">
        <v>34</v>
      </c>
      <c r="M9" s="37" t="s">
        <v>34</v>
      </c>
      <c r="N9" s="35">
        <v>0.70899999999999996</v>
      </c>
      <c r="O9" s="36">
        <v>27.04</v>
      </c>
      <c r="P9" s="35">
        <v>21400000</v>
      </c>
      <c r="Q9" s="36">
        <v>214000</v>
      </c>
      <c r="R9" s="36">
        <v>250000</v>
      </c>
      <c r="S9" s="36">
        <v>80</v>
      </c>
      <c r="T9" s="36">
        <v>1603</v>
      </c>
      <c r="U9" s="35">
        <v>1170000</v>
      </c>
      <c r="V9" s="36">
        <v>26000</v>
      </c>
      <c r="W9" s="36">
        <v>43500</v>
      </c>
      <c r="X9" s="36">
        <v>18.700000000000003</v>
      </c>
      <c r="Y9" s="35">
        <v>42</v>
      </c>
      <c r="Z9" s="36">
        <v>135000</v>
      </c>
      <c r="AA9" s="36">
        <v>10500000000</v>
      </c>
      <c r="AB9" s="35">
        <v>1</v>
      </c>
      <c r="AC9" s="36">
        <v>1</v>
      </c>
      <c r="AD9" s="35">
        <v>1</v>
      </c>
      <c r="AE9" s="36">
        <v>1</v>
      </c>
    </row>
    <row r="10" spans="1:39" x14ac:dyDescent="0.45">
      <c r="A10" s="43" t="s">
        <v>255</v>
      </c>
      <c r="B10" s="31">
        <v>31.1</v>
      </c>
      <c r="C10" s="30">
        <v>220</v>
      </c>
      <c r="D10" s="31">
        <v>98</v>
      </c>
      <c r="E10" s="31">
        <v>8.1</v>
      </c>
      <c r="F10" s="31">
        <v>12.2</v>
      </c>
      <c r="G10" s="31">
        <v>8.1</v>
      </c>
      <c r="H10" s="31">
        <v>490</v>
      </c>
      <c r="I10" s="30">
        <v>39.5</v>
      </c>
      <c r="J10" s="30">
        <v>175.8</v>
      </c>
      <c r="K10" s="32" t="s">
        <v>60</v>
      </c>
      <c r="L10" s="31">
        <v>50</v>
      </c>
      <c r="M10" s="31">
        <v>56</v>
      </c>
      <c r="N10" s="30">
        <v>0.77500000000000002</v>
      </c>
      <c r="O10" s="31">
        <v>24.99</v>
      </c>
      <c r="P10" s="30">
        <v>30600000</v>
      </c>
      <c r="Q10" s="31">
        <v>278000</v>
      </c>
      <c r="R10" s="31">
        <v>324000</v>
      </c>
      <c r="S10" s="31">
        <v>88</v>
      </c>
      <c r="T10" s="31">
        <v>1905.9999999999998</v>
      </c>
      <c r="U10" s="30">
        <v>1620000</v>
      </c>
      <c r="V10" s="31">
        <v>33100</v>
      </c>
      <c r="W10" s="31">
        <v>55700</v>
      </c>
      <c r="X10" s="31">
        <v>20.2</v>
      </c>
      <c r="Y10" s="30">
        <v>45.4</v>
      </c>
      <c r="Z10" s="31">
        <v>186000</v>
      </c>
      <c r="AA10" s="31">
        <v>17800000000</v>
      </c>
      <c r="AB10" s="30">
        <v>1</v>
      </c>
      <c r="AC10" s="31">
        <v>1</v>
      </c>
      <c r="AD10" s="30">
        <v>1</v>
      </c>
      <c r="AE10" s="31">
        <v>1</v>
      </c>
    </row>
    <row r="11" spans="1:39" x14ac:dyDescent="0.45">
      <c r="A11" s="40" t="s">
        <v>256</v>
      </c>
      <c r="B11" s="36">
        <v>36.200000000000003</v>
      </c>
      <c r="C11" s="35">
        <v>240</v>
      </c>
      <c r="D11" s="36">
        <v>106</v>
      </c>
      <c r="E11" s="36">
        <v>8.6999999999999993</v>
      </c>
      <c r="F11" s="36">
        <v>13.1</v>
      </c>
      <c r="G11" s="36">
        <v>8.6999999999999993</v>
      </c>
      <c r="H11" s="36">
        <v>520</v>
      </c>
      <c r="I11" s="35">
        <v>46.1</v>
      </c>
      <c r="J11" s="35">
        <v>192.5</v>
      </c>
      <c r="K11" s="37" t="s">
        <v>58</v>
      </c>
      <c r="L11" s="36">
        <v>54</v>
      </c>
      <c r="M11" s="36">
        <v>60</v>
      </c>
      <c r="N11" s="35">
        <v>0.84399999999999997</v>
      </c>
      <c r="O11" s="36">
        <v>23.32</v>
      </c>
      <c r="P11" s="35">
        <v>42500000</v>
      </c>
      <c r="Q11" s="36">
        <v>354000</v>
      </c>
      <c r="R11" s="36">
        <v>412000</v>
      </c>
      <c r="S11" s="36">
        <v>95.9</v>
      </c>
      <c r="T11" s="36">
        <v>2233</v>
      </c>
      <c r="U11" s="35">
        <v>2210000</v>
      </c>
      <c r="V11" s="36">
        <v>41700</v>
      </c>
      <c r="W11" s="36">
        <v>70000</v>
      </c>
      <c r="X11" s="36">
        <v>22</v>
      </c>
      <c r="Y11" s="35">
        <v>48.9</v>
      </c>
      <c r="Z11" s="36">
        <v>250000</v>
      </c>
      <c r="AA11" s="36">
        <v>28700000000</v>
      </c>
      <c r="AB11" s="35">
        <v>1</v>
      </c>
      <c r="AC11" s="36">
        <v>1</v>
      </c>
      <c r="AD11" s="35">
        <v>1</v>
      </c>
      <c r="AE11" s="36">
        <v>1</v>
      </c>
    </row>
    <row r="12" spans="1:39" x14ac:dyDescent="0.45">
      <c r="A12" s="43" t="s">
        <v>257</v>
      </c>
      <c r="B12" s="31">
        <v>41.9</v>
      </c>
      <c r="C12" s="30">
        <v>260</v>
      </c>
      <c r="D12" s="31">
        <v>113</v>
      </c>
      <c r="E12" s="31">
        <v>9.4</v>
      </c>
      <c r="F12" s="31">
        <v>14.1</v>
      </c>
      <c r="G12" s="31">
        <v>9.4</v>
      </c>
      <c r="H12" s="31">
        <v>560</v>
      </c>
      <c r="I12" s="30">
        <v>53.3</v>
      </c>
      <c r="J12" s="30">
        <v>208.9</v>
      </c>
      <c r="K12" s="32" t="s">
        <v>70</v>
      </c>
      <c r="L12" s="31">
        <v>62</v>
      </c>
      <c r="M12" s="31">
        <v>62</v>
      </c>
      <c r="N12" s="30">
        <v>0.90600000000000003</v>
      </c>
      <c r="O12" s="31">
        <v>21.65</v>
      </c>
      <c r="P12" s="30">
        <v>57400000</v>
      </c>
      <c r="Q12" s="31">
        <v>442000</v>
      </c>
      <c r="R12" s="31">
        <v>514000</v>
      </c>
      <c r="S12" s="31">
        <v>104</v>
      </c>
      <c r="T12" s="31">
        <v>2608</v>
      </c>
      <c r="U12" s="30">
        <v>2880000</v>
      </c>
      <c r="V12" s="31">
        <v>51000</v>
      </c>
      <c r="W12" s="31">
        <v>85900</v>
      </c>
      <c r="X12" s="31">
        <v>23.2</v>
      </c>
      <c r="Y12" s="30">
        <v>52.6</v>
      </c>
      <c r="Z12" s="31">
        <v>335000</v>
      </c>
      <c r="AA12" s="31">
        <v>44100000000</v>
      </c>
      <c r="AB12" s="30">
        <v>1</v>
      </c>
      <c r="AC12" s="31">
        <v>1</v>
      </c>
      <c r="AD12" s="30">
        <v>1</v>
      </c>
      <c r="AE12" s="31">
        <v>1</v>
      </c>
    </row>
    <row r="13" spans="1:39" x14ac:dyDescent="0.45">
      <c r="A13" s="40" t="s">
        <v>258</v>
      </c>
      <c r="B13" s="36">
        <v>47.9</v>
      </c>
      <c r="C13" s="35">
        <v>280</v>
      </c>
      <c r="D13" s="36">
        <v>119</v>
      </c>
      <c r="E13" s="36">
        <v>10.1</v>
      </c>
      <c r="F13" s="36">
        <v>15.2</v>
      </c>
      <c r="G13" s="36">
        <v>10.1</v>
      </c>
      <c r="H13" s="36">
        <v>610</v>
      </c>
      <c r="I13" s="35">
        <v>61</v>
      </c>
      <c r="J13" s="35">
        <v>225.1</v>
      </c>
      <c r="K13" s="37" t="s">
        <v>68</v>
      </c>
      <c r="L13" s="36">
        <v>68</v>
      </c>
      <c r="M13" s="36">
        <v>68</v>
      </c>
      <c r="N13" s="35">
        <v>0.96599999999999997</v>
      </c>
      <c r="O13" s="36">
        <v>20.170000000000002</v>
      </c>
      <c r="P13" s="35">
        <v>75900000</v>
      </c>
      <c r="Q13" s="36">
        <v>542000</v>
      </c>
      <c r="R13" s="36">
        <v>632000</v>
      </c>
      <c r="S13" s="36">
        <v>111</v>
      </c>
      <c r="T13" s="36">
        <v>3018</v>
      </c>
      <c r="U13" s="35">
        <v>3640000</v>
      </c>
      <c r="V13" s="36">
        <v>61200</v>
      </c>
      <c r="W13" s="36">
        <v>103000</v>
      </c>
      <c r="X13" s="36">
        <v>24.5</v>
      </c>
      <c r="Y13" s="35">
        <v>56.4</v>
      </c>
      <c r="Z13" s="36">
        <v>442000</v>
      </c>
      <c r="AA13" s="36">
        <v>64599999999.999992</v>
      </c>
      <c r="AB13" s="35">
        <v>1</v>
      </c>
      <c r="AC13" s="36">
        <v>1</v>
      </c>
      <c r="AD13" s="35">
        <v>1</v>
      </c>
      <c r="AE13" s="36">
        <v>1</v>
      </c>
    </row>
    <row r="14" spans="1:39" x14ac:dyDescent="0.45">
      <c r="A14" s="40" t="s">
        <v>259</v>
      </c>
      <c r="B14" s="36">
        <v>54.2</v>
      </c>
      <c r="C14" s="35">
        <v>300</v>
      </c>
      <c r="D14" s="36">
        <v>125</v>
      </c>
      <c r="E14" s="36">
        <v>10.8</v>
      </c>
      <c r="F14" s="36">
        <v>16.2</v>
      </c>
      <c r="G14" s="36">
        <v>10.8</v>
      </c>
      <c r="H14" s="36">
        <v>650</v>
      </c>
      <c r="I14" s="35">
        <v>69</v>
      </c>
      <c r="J14" s="35">
        <v>241.6</v>
      </c>
      <c r="K14" s="37" t="s">
        <v>68</v>
      </c>
      <c r="L14" s="36">
        <v>70</v>
      </c>
      <c r="M14" s="36">
        <v>74</v>
      </c>
      <c r="N14" s="35">
        <v>1.03</v>
      </c>
      <c r="O14" s="36">
        <v>19.02</v>
      </c>
      <c r="P14" s="35">
        <v>98000000</v>
      </c>
      <c r="Q14" s="36">
        <v>653000</v>
      </c>
      <c r="R14" s="36">
        <v>762000</v>
      </c>
      <c r="S14" s="36">
        <v>119</v>
      </c>
      <c r="T14" s="36">
        <v>3458</v>
      </c>
      <c r="U14" s="35">
        <v>4510000</v>
      </c>
      <c r="V14" s="36">
        <v>72200</v>
      </c>
      <c r="W14" s="36">
        <v>121000</v>
      </c>
      <c r="X14" s="36">
        <v>25.6</v>
      </c>
      <c r="Y14" s="35">
        <v>60.1</v>
      </c>
      <c r="Z14" s="36">
        <v>568000</v>
      </c>
      <c r="AA14" s="36">
        <v>91800000000</v>
      </c>
      <c r="AB14" s="35">
        <v>1</v>
      </c>
      <c r="AC14" s="36">
        <v>1</v>
      </c>
      <c r="AD14" s="35">
        <v>1</v>
      </c>
      <c r="AE14" s="36">
        <v>1</v>
      </c>
    </row>
    <row r="15" spans="1:39" x14ac:dyDescent="0.45">
      <c r="A15" s="43" t="s">
        <v>260</v>
      </c>
      <c r="B15" s="31">
        <v>61</v>
      </c>
      <c r="C15" s="30">
        <v>320</v>
      </c>
      <c r="D15" s="31">
        <v>131</v>
      </c>
      <c r="E15" s="31">
        <v>11.5</v>
      </c>
      <c r="F15" s="31">
        <v>17.3</v>
      </c>
      <c r="G15" s="31">
        <v>11.5</v>
      </c>
      <c r="H15" s="31">
        <v>690</v>
      </c>
      <c r="I15" s="30">
        <v>77.7</v>
      </c>
      <c r="J15" s="30">
        <v>257.89999999999998</v>
      </c>
      <c r="K15" s="32" t="s">
        <v>70</v>
      </c>
      <c r="L15" s="31">
        <v>70</v>
      </c>
      <c r="M15" s="31">
        <v>80</v>
      </c>
      <c r="N15" s="30">
        <v>1.0900000000000001</v>
      </c>
      <c r="O15" s="31">
        <v>17.87</v>
      </c>
      <c r="P15" s="30">
        <v>125100000</v>
      </c>
      <c r="Q15" s="31">
        <v>782000</v>
      </c>
      <c r="R15" s="31">
        <v>914000</v>
      </c>
      <c r="S15" s="31">
        <v>127</v>
      </c>
      <c r="T15" s="31">
        <v>3926</v>
      </c>
      <c r="U15" s="30">
        <v>5550000</v>
      </c>
      <c r="V15" s="31">
        <v>84700</v>
      </c>
      <c r="W15" s="31">
        <v>143000</v>
      </c>
      <c r="X15" s="31">
        <v>26.7</v>
      </c>
      <c r="Y15" s="30">
        <v>63.9</v>
      </c>
      <c r="Z15" s="31">
        <v>725000</v>
      </c>
      <c r="AA15" s="31">
        <v>129000000000</v>
      </c>
      <c r="AB15" s="30">
        <v>1</v>
      </c>
      <c r="AC15" s="31">
        <v>1</v>
      </c>
      <c r="AD15" s="30">
        <v>1</v>
      </c>
      <c r="AE15" s="31">
        <v>1</v>
      </c>
    </row>
    <row r="16" spans="1:39" x14ac:dyDescent="0.45">
      <c r="A16" s="40" t="s">
        <v>261</v>
      </c>
      <c r="B16" s="36">
        <v>68</v>
      </c>
      <c r="C16" s="35">
        <v>340</v>
      </c>
      <c r="D16" s="36">
        <v>137</v>
      </c>
      <c r="E16" s="36">
        <v>12.2</v>
      </c>
      <c r="F16" s="36">
        <v>18.3</v>
      </c>
      <c r="G16" s="36">
        <v>12.2</v>
      </c>
      <c r="H16" s="36">
        <v>730</v>
      </c>
      <c r="I16" s="35">
        <v>86.7</v>
      </c>
      <c r="J16" s="35">
        <v>274.3</v>
      </c>
      <c r="K16" s="37" t="s">
        <v>68</v>
      </c>
      <c r="L16" s="36">
        <v>78</v>
      </c>
      <c r="M16" s="36">
        <v>86</v>
      </c>
      <c r="N16" s="35">
        <v>1.1499999999999999</v>
      </c>
      <c r="O16" s="36">
        <v>16.899999999999999</v>
      </c>
      <c r="P16" s="35">
        <v>157000000</v>
      </c>
      <c r="Q16" s="36">
        <v>923000</v>
      </c>
      <c r="R16" s="36">
        <v>1080000</v>
      </c>
      <c r="S16" s="36">
        <v>135</v>
      </c>
      <c r="T16" s="36">
        <v>4427</v>
      </c>
      <c r="U16" s="35">
        <v>6740000</v>
      </c>
      <c r="V16" s="36">
        <v>98400</v>
      </c>
      <c r="W16" s="36">
        <v>166000</v>
      </c>
      <c r="X16" s="36">
        <v>28</v>
      </c>
      <c r="Y16" s="35">
        <v>67.599999999999994</v>
      </c>
      <c r="Z16" s="36">
        <v>904000</v>
      </c>
      <c r="AA16" s="36">
        <v>176000000000</v>
      </c>
      <c r="AB16" s="35">
        <v>1</v>
      </c>
      <c r="AC16" s="36">
        <v>1</v>
      </c>
      <c r="AD16" s="35">
        <v>1</v>
      </c>
      <c r="AE16" s="36">
        <v>1</v>
      </c>
    </row>
    <row r="17" spans="1:31" x14ac:dyDescent="0.45">
      <c r="A17" s="43" t="s">
        <v>262</v>
      </c>
      <c r="B17" s="31">
        <v>76.099999999999994</v>
      </c>
      <c r="C17" s="30">
        <v>360</v>
      </c>
      <c r="D17" s="31">
        <v>143</v>
      </c>
      <c r="E17" s="31">
        <v>13</v>
      </c>
      <c r="F17" s="31">
        <v>19.5</v>
      </c>
      <c r="G17" s="31">
        <v>13</v>
      </c>
      <c r="H17" s="31">
        <v>780</v>
      </c>
      <c r="I17" s="30">
        <v>97</v>
      </c>
      <c r="J17" s="30">
        <v>290.2</v>
      </c>
      <c r="K17" s="32" t="s">
        <v>70</v>
      </c>
      <c r="L17" s="31">
        <v>78</v>
      </c>
      <c r="M17" s="31">
        <v>92</v>
      </c>
      <c r="N17" s="30">
        <v>1.21</v>
      </c>
      <c r="O17" s="31">
        <v>15.89</v>
      </c>
      <c r="P17" s="30">
        <v>196100000</v>
      </c>
      <c r="Q17" s="31">
        <v>1090000</v>
      </c>
      <c r="R17" s="31">
        <v>1276000</v>
      </c>
      <c r="S17" s="31">
        <v>142</v>
      </c>
      <c r="T17" s="31">
        <v>4995</v>
      </c>
      <c r="U17" s="30">
        <v>8180000</v>
      </c>
      <c r="V17" s="31">
        <v>114000</v>
      </c>
      <c r="W17" s="31">
        <v>194000</v>
      </c>
      <c r="X17" s="31">
        <v>29</v>
      </c>
      <c r="Y17" s="30">
        <v>71.8</v>
      </c>
      <c r="Z17" s="31">
        <v>1150000</v>
      </c>
      <c r="AA17" s="31">
        <v>240000000000</v>
      </c>
      <c r="AB17" s="30">
        <v>1</v>
      </c>
      <c r="AC17" s="31">
        <v>1</v>
      </c>
      <c r="AD17" s="30">
        <v>1</v>
      </c>
      <c r="AE17" s="31">
        <v>1</v>
      </c>
    </row>
    <row r="18" spans="1:31" x14ac:dyDescent="0.45">
      <c r="A18" s="40" t="s">
        <v>263</v>
      </c>
      <c r="B18" s="36">
        <v>84</v>
      </c>
      <c r="C18" s="35">
        <v>380</v>
      </c>
      <c r="D18" s="36">
        <v>149</v>
      </c>
      <c r="E18" s="36">
        <v>13.7</v>
      </c>
      <c r="F18" s="36">
        <v>20.5</v>
      </c>
      <c r="G18" s="36">
        <v>13.7</v>
      </c>
      <c r="H18" s="36">
        <v>820</v>
      </c>
      <c r="I18" s="35">
        <v>107</v>
      </c>
      <c r="J18" s="35">
        <v>306.7</v>
      </c>
      <c r="K18" s="37" t="s">
        <v>80</v>
      </c>
      <c r="L18" s="36">
        <v>84</v>
      </c>
      <c r="M18" s="36">
        <v>86</v>
      </c>
      <c r="N18" s="35">
        <v>1.27</v>
      </c>
      <c r="O18" s="36">
        <v>15.12</v>
      </c>
      <c r="P18" s="35">
        <v>240100000</v>
      </c>
      <c r="Q18" s="36">
        <v>1260000</v>
      </c>
      <c r="R18" s="36">
        <v>1482000</v>
      </c>
      <c r="S18" s="36">
        <v>150</v>
      </c>
      <c r="T18" s="36">
        <v>5555</v>
      </c>
      <c r="U18" s="35">
        <v>9750000</v>
      </c>
      <c r="V18" s="36">
        <v>131000</v>
      </c>
      <c r="W18" s="36">
        <v>221000</v>
      </c>
      <c r="X18" s="36">
        <v>30.2</v>
      </c>
      <c r="Y18" s="35">
        <v>75.400000000000006</v>
      </c>
      <c r="Z18" s="36">
        <v>1410000</v>
      </c>
      <c r="AA18" s="36">
        <v>319000000000</v>
      </c>
      <c r="AB18" s="35">
        <v>1</v>
      </c>
      <c r="AC18" s="36">
        <v>1</v>
      </c>
      <c r="AD18" s="35">
        <v>1</v>
      </c>
      <c r="AE18" s="36">
        <v>1</v>
      </c>
    </row>
    <row r="19" spans="1:31" x14ac:dyDescent="0.45">
      <c r="A19" s="40" t="s">
        <v>264</v>
      </c>
      <c r="B19" s="36">
        <v>92.4</v>
      </c>
      <c r="C19" s="35">
        <v>400</v>
      </c>
      <c r="D19" s="36">
        <v>155</v>
      </c>
      <c r="E19" s="36">
        <v>14.4</v>
      </c>
      <c r="F19" s="36">
        <v>21.6</v>
      </c>
      <c r="G19" s="36">
        <v>14.4</v>
      </c>
      <c r="H19" s="36">
        <v>860</v>
      </c>
      <c r="I19" s="35">
        <v>118</v>
      </c>
      <c r="J19" s="35">
        <v>322.89999999999998</v>
      </c>
      <c r="K19" s="37" t="s">
        <v>80</v>
      </c>
      <c r="L19" s="36">
        <v>86</v>
      </c>
      <c r="M19" s="36">
        <v>92</v>
      </c>
      <c r="N19" s="35">
        <v>1.33</v>
      </c>
      <c r="O19" s="36">
        <v>14.36</v>
      </c>
      <c r="P19" s="35">
        <v>292100000</v>
      </c>
      <c r="Q19" s="36">
        <v>1460000</v>
      </c>
      <c r="R19" s="36">
        <v>1714000</v>
      </c>
      <c r="S19" s="36">
        <v>157</v>
      </c>
      <c r="T19" s="36">
        <v>6169</v>
      </c>
      <c r="U19" s="35">
        <v>11600000</v>
      </c>
      <c r="V19" s="36">
        <v>149000</v>
      </c>
      <c r="W19" s="36">
        <v>253000</v>
      </c>
      <c r="X19" s="36">
        <v>31.299999999999997</v>
      </c>
      <c r="Y19" s="35">
        <v>79.3</v>
      </c>
      <c r="Z19" s="36">
        <v>1700000</v>
      </c>
      <c r="AA19" s="36">
        <v>420000000000</v>
      </c>
      <c r="AB19" s="35">
        <v>1</v>
      </c>
      <c r="AC19" s="36">
        <v>1</v>
      </c>
      <c r="AD19" s="35">
        <v>1</v>
      </c>
      <c r="AE19" s="36">
        <v>1</v>
      </c>
    </row>
    <row r="20" spans="1:31" x14ac:dyDescent="0.45">
      <c r="A20" s="43" t="s">
        <v>265</v>
      </c>
      <c r="B20" s="31">
        <v>115</v>
      </c>
      <c r="C20" s="30">
        <v>450</v>
      </c>
      <c r="D20" s="31">
        <v>170</v>
      </c>
      <c r="E20" s="31">
        <v>16.2</v>
      </c>
      <c r="F20" s="31">
        <v>24.3</v>
      </c>
      <c r="G20" s="31">
        <v>16.2</v>
      </c>
      <c r="H20" s="31">
        <v>970</v>
      </c>
      <c r="I20" s="30">
        <v>147</v>
      </c>
      <c r="J20" s="30">
        <v>363.6</v>
      </c>
      <c r="K20" s="32" t="s">
        <v>78</v>
      </c>
      <c r="L20" s="31">
        <v>92</v>
      </c>
      <c r="M20" s="31">
        <v>106</v>
      </c>
      <c r="N20" s="30">
        <v>1.48</v>
      </c>
      <c r="O20" s="31">
        <v>12.83</v>
      </c>
      <c r="P20" s="30">
        <v>458500000</v>
      </c>
      <c r="Q20" s="31">
        <v>2040000</v>
      </c>
      <c r="R20" s="31">
        <v>2400000</v>
      </c>
      <c r="S20" s="31">
        <v>177</v>
      </c>
      <c r="T20" s="31">
        <v>7779.0000000000009</v>
      </c>
      <c r="U20" s="30">
        <v>17300000</v>
      </c>
      <c r="V20" s="31">
        <v>203000</v>
      </c>
      <c r="W20" s="31">
        <v>345000</v>
      </c>
      <c r="X20" s="31">
        <v>34.300000000000004</v>
      </c>
      <c r="Y20" s="30">
        <v>88.9</v>
      </c>
      <c r="Z20" s="31">
        <v>2670000</v>
      </c>
      <c r="AA20" s="31">
        <v>791000000000</v>
      </c>
      <c r="AB20" s="30">
        <v>1</v>
      </c>
      <c r="AC20" s="31">
        <v>1</v>
      </c>
      <c r="AD20" s="30">
        <v>1</v>
      </c>
      <c r="AE20" s="31">
        <v>1</v>
      </c>
    </row>
    <row r="21" spans="1:31" x14ac:dyDescent="0.45">
      <c r="A21" s="40" t="s">
        <v>266</v>
      </c>
      <c r="B21" s="36">
        <v>141</v>
      </c>
      <c r="C21" s="35">
        <v>500</v>
      </c>
      <c r="D21" s="36">
        <v>185</v>
      </c>
      <c r="E21" s="36">
        <v>18</v>
      </c>
      <c r="F21" s="36">
        <v>27</v>
      </c>
      <c r="G21" s="36">
        <v>18</v>
      </c>
      <c r="H21" s="36">
        <v>1080</v>
      </c>
      <c r="I21" s="35">
        <v>179</v>
      </c>
      <c r="J21" s="35">
        <v>404.3</v>
      </c>
      <c r="K21" s="37" t="s">
        <v>137</v>
      </c>
      <c r="L21" s="36">
        <v>102</v>
      </c>
      <c r="M21" s="36">
        <v>110</v>
      </c>
      <c r="N21" s="35">
        <v>1.63</v>
      </c>
      <c r="O21" s="36">
        <v>11.6</v>
      </c>
      <c r="P21" s="35">
        <v>687400000</v>
      </c>
      <c r="Q21" s="36">
        <v>2750000</v>
      </c>
      <c r="R21" s="36">
        <v>3240000</v>
      </c>
      <c r="S21" s="36">
        <v>196</v>
      </c>
      <c r="T21" s="36">
        <v>9560</v>
      </c>
      <c r="U21" s="35">
        <v>24800000</v>
      </c>
      <c r="V21" s="36">
        <v>268000</v>
      </c>
      <c r="W21" s="36">
        <v>456000</v>
      </c>
      <c r="X21" s="36">
        <v>37.200000000000003</v>
      </c>
      <c r="Y21" s="35">
        <v>98.5</v>
      </c>
      <c r="Z21" s="36">
        <v>4020000</v>
      </c>
      <c r="AA21" s="36">
        <v>1400000000000</v>
      </c>
      <c r="AB21" s="35">
        <v>1</v>
      </c>
      <c r="AC21" s="36">
        <v>1</v>
      </c>
      <c r="AD21" s="35">
        <v>1</v>
      </c>
      <c r="AE21" s="36">
        <v>1</v>
      </c>
    </row>
    <row r="22" spans="1:31" x14ac:dyDescent="0.45">
      <c r="A22" s="43" t="s">
        <v>267</v>
      </c>
      <c r="B22" s="31">
        <v>166</v>
      </c>
      <c r="C22" s="30">
        <v>550</v>
      </c>
      <c r="D22" s="31">
        <v>200</v>
      </c>
      <c r="E22" s="31">
        <v>19</v>
      </c>
      <c r="F22" s="31">
        <v>30</v>
      </c>
      <c r="G22" s="31">
        <v>19</v>
      </c>
      <c r="H22" s="31">
        <v>1190</v>
      </c>
      <c r="I22" s="30">
        <v>212</v>
      </c>
      <c r="J22" s="30">
        <v>445.6</v>
      </c>
      <c r="K22" s="32" t="s">
        <v>89</v>
      </c>
      <c r="L22" s="31">
        <v>112</v>
      </c>
      <c r="M22" s="31">
        <v>118</v>
      </c>
      <c r="N22" s="30">
        <v>1.8</v>
      </c>
      <c r="O22" s="31">
        <v>10.8</v>
      </c>
      <c r="P22" s="30">
        <v>991800000</v>
      </c>
      <c r="Q22" s="31">
        <v>3610000</v>
      </c>
      <c r="R22" s="31">
        <v>4240000</v>
      </c>
      <c r="S22" s="31">
        <v>216</v>
      </c>
      <c r="T22" s="31">
        <v>11130</v>
      </c>
      <c r="U22" s="30">
        <v>34900000</v>
      </c>
      <c r="V22" s="31">
        <v>349000</v>
      </c>
      <c r="W22" s="31">
        <v>592000</v>
      </c>
      <c r="X22" s="31">
        <v>40.199999999999996</v>
      </c>
      <c r="Y22" s="30">
        <v>107.3</v>
      </c>
      <c r="Z22" s="31">
        <v>5440000</v>
      </c>
      <c r="AA22" s="31">
        <v>2390000000000</v>
      </c>
      <c r="AB22" s="30">
        <v>1</v>
      </c>
      <c r="AC22" s="31">
        <v>1</v>
      </c>
      <c r="AD22" s="30">
        <v>1</v>
      </c>
      <c r="AE22" s="31">
        <v>1</v>
      </c>
    </row>
    <row r="23" spans="1:31" x14ac:dyDescent="0.45">
      <c r="A23" s="44" t="s">
        <v>268</v>
      </c>
      <c r="B23" s="42">
        <v>199</v>
      </c>
      <c r="C23" s="41">
        <v>600</v>
      </c>
      <c r="D23" s="42">
        <v>215</v>
      </c>
      <c r="E23" s="42">
        <v>21.6</v>
      </c>
      <c r="F23" s="42">
        <v>32.4</v>
      </c>
      <c r="G23" s="42">
        <v>21.6</v>
      </c>
      <c r="H23" s="42">
        <v>1300</v>
      </c>
      <c r="I23" s="41">
        <v>254</v>
      </c>
      <c r="J23" s="41">
        <v>485.8</v>
      </c>
      <c r="K23" s="45" t="s">
        <v>97</v>
      </c>
      <c r="L23" s="42">
        <v>126</v>
      </c>
      <c r="M23" s="42">
        <v>128</v>
      </c>
      <c r="N23" s="41">
        <v>1.92</v>
      </c>
      <c r="O23" s="42">
        <v>9.89</v>
      </c>
      <c r="P23" s="41">
        <v>1390000000</v>
      </c>
      <c r="Q23" s="42">
        <v>4630000</v>
      </c>
      <c r="R23" s="42">
        <v>5452000</v>
      </c>
      <c r="S23" s="42">
        <v>234</v>
      </c>
      <c r="T23" s="42">
        <v>13800</v>
      </c>
      <c r="U23" s="41">
        <v>46700000</v>
      </c>
      <c r="V23" s="42">
        <v>434000</v>
      </c>
      <c r="W23" s="42">
        <v>752000</v>
      </c>
      <c r="X23" s="42">
        <v>43</v>
      </c>
      <c r="Y23" s="41">
        <v>117.6</v>
      </c>
      <c r="Z23" s="42">
        <v>7870000</v>
      </c>
      <c r="AA23" s="42">
        <v>3814000000000</v>
      </c>
      <c r="AB23" s="41">
        <v>1</v>
      </c>
      <c r="AC23" s="42">
        <v>1</v>
      </c>
      <c r="AD23" s="41">
        <v>1</v>
      </c>
      <c r="AE23" s="42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4"/>
  <dimension ref="A1:AG41"/>
  <sheetViews>
    <sheetView topLeftCell="V1" zoomScale="70" zoomScaleNormal="70" workbookViewId="0">
      <selection activeCell="AB2" sqref="AB2:AG2"/>
    </sheetView>
  </sheetViews>
  <sheetFormatPr baseColWidth="10" defaultColWidth="11.3984375" defaultRowHeight="14.25" x14ac:dyDescent="0.45"/>
  <cols>
    <col min="1" max="1" width="14.86328125" style="47" bestFit="1" customWidth="1"/>
    <col min="2" max="2" width="11" style="47" bestFit="1" customWidth="1"/>
    <col min="3" max="3" width="12.1328125" style="47" bestFit="1" customWidth="1"/>
    <col min="4" max="4" width="11" style="47" bestFit="1" customWidth="1"/>
    <col min="5" max="6" width="9.73046875" style="47" bestFit="1" customWidth="1"/>
    <col min="7" max="7" width="16.73046875" style="47" bestFit="1" customWidth="1"/>
    <col min="8" max="8" width="14.86328125" style="47" bestFit="1" customWidth="1"/>
    <col min="9" max="9" width="12.1328125" style="47" bestFit="1" customWidth="1"/>
    <col min="10" max="10" width="11" style="47" bestFit="1" customWidth="1"/>
    <col min="11" max="11" width="6.265625" style="47" bestFit="1" customWidth="1"/>
    <col min="12" max="12" width="11.59765625" style="47" bestFit="1" customWidth="1"/>
    <col min="13" max="13" width="12.1328125" style="47" bestFit="1" customWidth="1"/>
    <col min="14" max="14" width="11.59765625" style="47" bestFit="1" customWidth="1"/>
    <col min="15" max="15" width="11" style="47" bestFit="1" customWidth="1"/>
    <col min="16" max="16" width="22.1328125" style="47" bestFit="1" customWidth="1"/>
    <col min="17" max="18" width="17.86328125" style="47" bestFit="1" customWidth="1"/>
    <col min="19" max="19" width="11" style="47" bestFit="1" customWidth="1"/>
    <col min="20" max="20" width="13.86328125" style="47" bestFit="1" customWidth="1"/>
    <col min="21" max="21" width="20.59765625" style="47" bestFit="1" customWidth="1"/>
    <col min="22" max="23" width="16.73046875" style="47" bestFit="1" customWidth="1"/>
    <col min="24" max="24" width="10.59765625" style="47" bestFit="1" customWidth="1"/>
    <col min="25" max="25" width="11" style="47" bestFit="1" customWidth="1"/>
    <col min="26" max="26" width="19.1328125" style="47" bestFit="1" customWidth="1"/>
    <col min="27" max="27" width="27.73046875" style="47" bestFit="1" customWidth="1"/>
    <col min="28" max="33" width="9.73046875" style="47" bestFit="1" customWidth="1"/>
    <col min="34" max="16384" width="11.3984375" style="47"/>
  </cols>
  <sheetData>
    <row r="1" spans="1:33" s="93" customFormat="1" ht="15.75" x14ac:dyDescent="0.45">
      <c r="A1" s="25" t="s">
        <v>1</v>
      </c>
      <c r="B1" s="25" t="s">
        <v>2</v>
      </c>
      <c r="C1" s="25" t="s">
        <v>3</v>
      </c>
      <c r="D1" s="25" t="s">
        <v>4</v>
      </c>
      <c r="E1" s="25" t="s">
        <v>116</v>
      </c>
      <c r="F1" s="25" t="s">
        <v>6</v>
      </c>
      <c r="G1" s="25" t="s">
        <v>7</v>
      </c>
      <c r="H1" s="25" t="s">
        <v>269</v>
      </c>
      <c r="I1" s="25" t="s">
        <v>270</v>
      </c>
      <c r="J1" s="25" t="s">
        <v>271</v>
      </c>
      <c r="K1" s="25" t="s">
        <v>117</v>
      </c>
      <c r="L1" s="25" t="s">
        <v>12</v>
      </c>
      <c r="M1" s="25" t="s">
        <v>13</v>
      </c>
      <c r="N1" s="25" t="s">
        <v>272</v>
      </c>
      <c r="O1" s="25" t="s">
        <v>273</v>
      </c>
      <c r="P1" s="25" t="s">
        <v>16</v>
      </c>
      <c r="Q1" s="25" t="s">
        <v>17</v>
      </c>
      <c r="R1" s="25" t="s">
        <v>18</v>
      </c>
      <c r="S1" s="25" t="s">
        <v>19</v>
      </c>
      <c r="T1" s="25" t="s">
        <v>20</v>
      </c>
      <c r="U1" s="25" t="s">
        <v>21</v>
      </c>
      <c r="V1" s="25" t="s">
        <v>22</v>
      </c>
      <c r="W1" s="25" t="s">
        <v>23</v>
      </c>
      <c r="X1" s="25" t="s">
        <v>24</v>
      </c>
      <c r="Y1" s="25" t="s">
        <v>120</v>
      </c>
      <c r="Z1" s="25" t="s">
        <v>26</v>
      </c>
      <c r="AA1" s="25" t="s">
        <v>27</v>
      </c>
      <c r="AB1" s="49" t="s">
        <v>28</v>
      </c>
      <c r="AC1" s="49" t="s">
        <v>29</v>
      </c>
      <c r="AD1" s="49" t="s">
        <v>30</v>
      </c>
      <c r="AE1" s="49" t="s">
        <v>28</v>
      </c>
      <c r="AF1" s="49" t="s">
        <v>29</v>
      </c>
      <c r="AG1" s="49" t="s">
        <v>30</v>
      </c>
    </row>
    <row r="2" spans="1:33" s="93" customFormat="1" ht="32.25" x14ac:dyDescent="0.45">
      <c r="A2" s="25" t="s">
        <v>731</v>
      </c>
      <c r="B2" s="25" t="s">
        <v>31</v>
      </c>
      <c r="C2" s="25" t="s">
        <v>32</v>
      </c>
      <c r="D2" s="25" t="s">
        <v>32</v>
      </c>
      <c r="E2" s="25" t="s">
        <v>32</v>
      </c>
      <c r="F2" s="25" t="s">
        <v>32</v>
      </c>
      <c r="G2" s="25" t="s">
        <v>32</v>
      </c>
      <c r="H2" s="25" t="s">
        <v>33</v>
      </c>
      <c r="I2" s="25" t="s">
        <v>32</v>
      </c>
      <c r="J2" s="25" t="s">
        <v>32</v>
      </c>
      <c r="K2" s="25" t="s">
        <v>34</v>
      </c>
      <c r="L2" s="25" t="s">
        <v>32</v>
      </c>
      <c r="M2" s="25" t="s">
        <v>32</v>
      </c>
      <c r="N2" s="25" t="s">
        <v>35</v>
      </c>
      <c r="O2" s="25" t="s">
        <v>36</v>
      </c>
      <c r="P2" s="25" t="s">
        <v>37</v>
      </c>
      <c r="Q2" s="25" t="s">
        <v>38</v>
      </c>
      <c r="R2" s="25" t="s">
        <v>38</v>
      </c>
      <c r="S2" s="25" t="s">
        <v>32</v>
      </c>
      <c r="T2" s="25" t="s">
        <v>33</v>
      </c>
      <c r="U2" s="25" t="s">
        <v>37</v>
      </c>
      <c r="V2" s="25" t="s">
        <v>38</v>
      </c>
      <c r="W2" s="25" t="s">
        <v>38</v>
      </c>
      <c r="X2" s="25" t="s">
        <v>32</v>
      </c>
      <c r="Y2" s="25" t="s">
        <v>32</v>
      </c>
      <c r="Z2" s="25" t="s">
        <v>37</v>
      </c>
      <c r="AA2" s="25" t="s">
        <v>39</v>
      </c>
      <c r="AB2" s="50" t="s">
        <v>732</v>
      </c>
      <c r="AC2" s="50" t="s">
        <v>732</v>
      </c>
      <c r="AD2" s="50" t="s">
        <v>732</v>
      </c>
      <c r="AE2" s="50" t="s">
        <v>733</v>
      </c>
      <c r="AF2" s="50" t="s">
        <v>733</v>
      </c>
      <c r="AG2" s="50" t="s">
        <v>733</v>
      </c>
    </row>
    <row r="3" spans="1:33" x14ac:dyDescent="0.45">
      <c r="A3" s="29" t="s">
        <v>274</v>
      </c>
      <c r="B3" s="27">
        <v>342</v>
      </c>
      <c r="C3" s="26">
        <v>912</v>
      </c>
      <c r="D3" s="27">
        <v>418</v>
      </c>
      <c r="E3" s="27">
        <v>19.3</v>
      </c>
      <c r="F3" s="27">
        <v>32</v>
      </c>
      <c r="G3" s="27">
        <v>24</v>
      </c>
      <c r="H3" s="26">
        <v>43610</v>
      </c>
      <c r="I3" s="26">
        <v>848</v>
      </c>
      <c r="J3" s="27">
        <v>800</v>
      </c>
      <c r="K3" s="28" t="s">
        <v>108</v>
      </c>
      <c r="L3" s="27">
        <v>126</v>
      </c>
      <c r="M3" s="27">
        <v>312</v>
      </c>
      <c r="N3" s="26">
        <v>3.4159999999999999</v>
      </c>
      <c r="O3" s="27">
        <v>9.9779999999999998</v>
      </c>
      <c r="P3" s="26">
        <v>6249000000</v>
      </c>
      <c r="Q3" s="27">
        <v>13700000</v>
      </c>
      <c r="R3" s="27">
        <v>15450000</v>
      </c>
      <c r="S3" s="68">
        <v>378.5</v>
      </c>
      <c r="T3" s="82">
        <v>19010</v>
      </c>
      <c r="U3" s="26">
        <v>390100000</v>
      </c>
      <c r="V3" s="27">
        <v>1867000</v>
      </c>
      <c r="W3" s="27">
        <v>2882000</v>
      </c>
      <c r="X3" s="27">
        <v>94.600000000000009</v>
      </c>
      <c r="Y3" s="26">
        <v>111.4</v>
      </c>
      <c r="Z3" s="27">
        <v>11930000</v>
      </c>
      <c r="AA3" s="27">
        <v>75410000000000</v>
      </c>
      <c r="AB3" s="26">
        <v>1</v>
      </c>
      <c r="AC3" s="68">
        <v>1</v>
      </c>
      <c r="AD3" s="27">
        <v>1</v>
      </c>
      <c r="AE3" s="26">
        <v>3</v>
      </c>
      <c r="AF3" s="27">
        <v>4</v>
      </c>
      <c r="AG3" s="27">
        <v>4</v>
      </c>
    </row>
    <row r="4" spans="1:33" x14ac:dyDescent="0.45">
      <c r="A4" s="43" t="s">
        <v>275</v>
      </c>
      <c r="B4" s="31">
        <v>365</v>
      </c>
      <c r="C4" s="30">
        <v>916</v>
      </c>
      <c r="D4" s="31">
        <v>419</v>
      </c>
      <c r="E4" s="31">
        <v>20.3</v>
      </c>
      <c r="F4" s="31">
        <v>34.299999999999997</v>
      </c>
      <c r="G4" s="31">
        <v>24</v>
      </c>
      <c r="H4" s="30">
        <v>46440</v>
      </c>
      <c r="I4" s="30">
        <v>847.4</v>
      </c>
      <c r="J4" s="31">
        <v>799.4</v>
      </c>
      <c r="K4" s="32" t="s">
        <v>110</v>
      </c>
      <c r="L4" s="31">
        <v>128</v>
      </c>
      <c r="M4" s="31">
        <v>314</v>
      </c>
      <c r="N4" s="30">
        <v>3.4260000000000002</v>
      </c>
      <c r="O4" s="31">
        <v>9.3979999999999997</v>
      </c>
      <c r="P4" s="30">
        <v>6705000000</v>
      </c>
      <c r="Q4" s="31">
        <v>14640000</v>
      </c>
      <c r="R4" s="31">
        <v>16520000</v>
      </c>
      <c r="S4" s="70">
        <v>380</v>
      </c>
      <c r="T4" s="84">
        <v>20040</v>
      </c>
      <c r="U4" s="30">
        <v>421200000</v>
      </c>
      <c r="V4" s="31">
        <v>2011000</v>
      </c>
      <c r="W4" s="31">
        <v>3106000</v>
      </c>
      <c r="X4" s="31">
        <v>95.199999999999989</v>
      </c>
      <c r="Y4" s="30">
        <v>117</v>
      </c>
      <c r="Z4" s="31">
        <v>14460000</v>
      </c>
      <c r="AA4" s="31">
        <v>81730000000000</v>
      </c>
      <c r="AB4" s="30">
        <v>1</v>
      </c>
      <c r="AC4" s="70">
        <v>1</v>
      </c>
      <c r="AD4" s="31">
        <v>1</v>
      </c>
      <c r="AE4" s="30">
        <v>3</v>
      </c>
      <c r="AF4" s="31">
        <v>4</v>
      </c>
      <c r="AG4" s="31">
        <v>4</v>
      </c>
    </row>
    <row r="5" spans="1:33" x14ac:dyDescent="0.45">
      <c r="A5" s="40" t="s">
        <v>276</v>
      </c>
      <c r="B5" s="36">
        <v>387</v>
      </c>
      <c r="C5" s="35">
        <v>921</v>
      </c>
      <c r="D5" s="36">
        <v>420</v>
      </c>
      <c r="E5" s="36">
        <v>21.3</v>
      </c>
      <c r="F5" s="36">
        <v>36.6</v>
      </c>
      <c r="G5" s="36">
        <v>24</v>
      </c>
      <c r="H5" s="35">
        <v>49300</v>
      </c>
      <c r="I5" s="35">
        <v>847.8</v>
      </c>
      <c r="J5" s="36">
        <v>799.8</v>
      </c>
      <c r="K5" s="37" t="s">
        <v>108</v>
      </c>
      <c r="L5" s="36">
        <v>128</v>
      </c>
      <c r="M5" s="36">
        <v>314</v>
      </c>
      <c r="N5" s="35">
        <v>3.4380000000000002</v>
      </c>
      <c r="O5" s="36">
        <v>8.8849999999999998</v>
      </c>
      <c r="P5" s="35">
        <v>7183000000</v>
      </c>
      <c r="Q5" s="36">
        <v>15600000</v>
      </c>
      <c r="R5" s="36">
        <v>17630000</v>
      </c>
      <c r="S5" s="72">
        <v>381.70000000000005</v>
      </c>
      <c r="T5" s="86">
        <v>21090</v>
      </c>
      <c r="U5" s="35">
        <v>452800000</v>
      </c>
      <c r="V5" s="36">
        <v>2156000</v>
      </c>
      <c r="W5" s="36">
        <v>3332000</v>
      </c>
      <c r="X5" s="36">
        <v>95.8</v>
      </c>
      <c r="Y5" s="35">
        <v>122.6</v>
      </c>
      <c r="Z5" s="36">
        <v>17340000</v>
      </c>
      <c r="AA5" s="36">
        <v>88370000000000</v>
      </c>
      <c r="AB5" s="35">
        <v>1</v>
      </c>
      <c r="AC5" s="72">
        <v>1</v>
      </c>
      <c r="AD5" s="36">
        <v>1</v>
      </c>
      <c r="AE5" s="35">
        <v>2</v>
      </c>
      <c r="AF5" s="36">
        <v>4</v>
      </c>
      <c r="AG5" s="36">
        <v>4</v>
      </c>
    </row>
    <row r="6" spans="1:33" x14ac:dyDescent="0.45">
      <c r="A6" s="43" t="s">
        <v>277</v>
      </c>
      <c r="B6" s="31">
        <v>417</v>
      </c>
      <c r="C6" s="30">
        <v>928</v>
      </c>
      <c r="D6" s="31">
        <v>422</v>
      </c>
      <c r="E6" s="31">
        <v>22.5</v>
      </c>
      <c r="F6" s="31">
        <v>39.9</v>
      </c>
      <c r="G6" s="31">
        <v>24</v>
      </c>
      <c r="H6" s="30">
        <v>53250</v>
      </c>
      <c r="I6" s="30">
        <v>848.2</v>
      </c>
      <c r="J6" s="31">
        <v>800.2</v>
      </c>
      <c r="K6" s="32" t="s">
        <v>110</v>
      </c>
      <c r="L6" s="31">
        <v>130</v>
      </c>
      <c r="M6" s="31">
        <v>316</v>
      </c>
      <c r="N6" s="30">
        <v>3.4580000000000002</v>
      </c>
      <c r="O6" s="31">
        <v>8.2710000000000008</v>
      </c>
      <c r="P6" s="30">
        <v>7876000000</v>
      </c>
      <c r="Q6" s="31">
        <v>16970000</v>
      </c>
      <c r="R6" s="31">
        <v>19210000</v>
      </c>
      <c r="S6" s="70">
        <v>384.6</v>
      </c>
      <c r="T6" s="84">
        <v>22390</v>
      </c>
      <c r="U6" s="30">
        <v>500700000</v>
      </c>
      <c r="V6" s="31">
        <v>2373000</v>
      </c>
      <c r="W6" s="31">
        <v>3668000</v>
      </c>
      <c r="X6" s="31">
        <v>97</v>
      </c>
      <c r="Y6" s="30">
        <v>130.4</v>
      </c>
      <c r="Z6" s="31">
        <v>22000000</v>
      </c>
      <c r="AA6" s="31">
        <v>98540000000000</v>
      </c>
      <c r="AB6" s="30">
        <v>1</v>
      </c>
      <c r="AC6" s="70">
        <v>1</v>
      </c>
      <c r="AD6" s="31">
        <v>1</v>
      </c>
      <c r="AE6" s="30">
        <v>2</v>
      </c>
      <c r="AF6" s="31">
        <v>4</v>
      </c>
      <c r="AG6" s="31">
        <v>4</v>
      </c>
    </row>
    <row r="7" spans="1:33" x14ac:dyDescent="0.45">
      <c r="A7" s="40" t="s">
        <v>278</v>
      </c>
      <c r="B7" s="36">
        <v>446</v>
      </c>
      <c r="C7" s="35">
        <v>933</v>
      </c>
      <c r="D7" s="36">
        <v>423</v>
      </c>
      <c r="E7" s="36">
        <v>24</v>
      </c>
      <c r="F7" s="36">
        <v>42.7</v>
      </c>
      <c r="G7" s="36">
        <v>24</v>
      </c>
      <c r="H7" s="35">
        <v>56960</v>
      </c>
      <c r="I7" s="35">
        <v>847.6</v>
      </c>
      <c r="J7" s="36">
        <v>799.6</v>
      </c>
      <c r="K7" s="37" t="s">
        <v>108</v>
      </c>
      <c r="L7" s="36">
        <v>130</v>
      </c>
      <c r="M7" s="36">
        <v>318</v>
      </c>
      <c r="N7" s="35">
        <v>3.4689999999999999</v>
      </c>
      <c r="O7" s="36">
        <v>7.758</v>
      </c>
      <c r="P7" s="35">
        <v>8468000000</v>
      </c>
      <c r="Q7" s="36">
        <v>18150000</v>
      </c>
      <c r="R7" s="36">
        <v>20600000</v>
      </c>
      <c r="S7" s="72">
        <v>385.6</v>
      </c>
      <c r="T7" s="86">
        <v>23910</v>
      </c>
      <c r="U7" s="35">
        <v>539800000</v>
      </c>
      <c r="V7" s="36">
        <v>2552000</v>
      </c>
      <c r="W7" s="36">
        <v>3951000</v>
      </c>
      <c r="X7" s="36">
        <v>97.300000000000011</v>
      </c>
      <c r="Y7" s="35">
        <v>137.5</v>
      </c>
      <c r="Z7" s="36">
        <v>26850000</v>
      </c>
      <c r="AA7" s="36">
        <v>106700000000000</v>
      </c>
      <c r="AB7" s="35">
        <v>1</v>
      </c>
      <c r="AC7" s="72">
        <v>1</v>
      </c>
      <c r="AD7" s="36">
        <v>1</v>
      </c>
      <c r="AE7" s="35">
        <v>2</v>
      </c>
      <c r="AF7" s="36">
        <v>3</v>
      </c>
      <c r="AG7" s="36">
        <v>4</v>
      </c>
    </row>
    <row r="8" spans="1:33" x14ac:dyDescent="0.45">
      <c r="A8" s="43" t="s">
        <v>279</v>
      </c>
      <c r="B8" s="31">
        <v>488</v>
      </c>
      <c r="C8" s="30">
        <v>942</v>
      </c>
      <c r="D8" s="31">
        <v>422</v>
      </c>
      <c r="E8" s="31">
        <v>25.9</v>
      </c>
      <c r="F8" s="31">
        <v>47</v>
      </c>
      <c r="G8" s="31">
        <v>24</v>
      </c>
      <c r="H8" s="30">
        <v>62129.999999999993</v>
      </c>
      <c r="I8" s="30">
        <v>848</v>
      </c>
      <c r="J8" s="31">
        <v>800</v>
      </c>
      <c r="K8" s="32" t="s">
        <v>110</v>
      </c>
      <c r="L8" s="31">
        <v>132</v>
      </c>
      <c r="M8" s="31">
        <v>316</v>
      </c>
      <c r="N8" s="30">
        <v>3.4790000000000001</v>
      </c>
      <c r="O8" s="31">
        <v>7.1340000000000003</v>
      </c>
      <c r="P8" s="30">
        <v>9354000000</v>
      </c>
      <c r="Q8" s="31">
        <v>19860000</v>
      </c>
      <c r="R8" s="31">
        <v>22610000</v>
      </c>
      <c r="S8" s="70">
        <v>388</v>
      </c>
      <c r="T8" s="84">
        <v>25930</v>
      </c>
      <c r="U8" s="30">
        <v>590100000</v>
      </c>
      <c r="V8" s="31">
        <v>2797000</v>
      </c>
      <c r="W8" s="31">
        <v>4336000</v>
      </c>
      <c r="X8" s="31">
        <v>97.5</v>
      </c>
      <c r="Y8" s="30">
        <v>148</v>
      </c>
      <c r="Z8" s="31">
        <v>35140000</v>
      </c>
      <c r="AA8" s="31">
        <v>117900000000000</v>
      </c>
      <c r="AB8" s="30">
        <v>1</v>
      </c>
      <c r="AC8" s="70">
        <v>1</v>
      </c>
      <c r="AD8" s="31">
        <v>1</v>
      </c>
      <c r="AE8" s="30">
        <v>1</v>
      </c>
      <c r="AF8" s="31">
        <v>2</v>
      </c>
      <c r="AG8" s="31">
        <v>4</v>
      </c>
    </row>
    <row r="9" spans="1:33" x14ac:dyDescent="0.45">
      <c r="A9" s="40" t="s">
        <v>280</v>
      </c>
      <c r="B9" s="36">
        <v>534</v>
      </c>
      <c r="C9" s="35">
        <v>950</v>
      </c>
      <c r="D9" s="36">
        <v>425</v>
      </c>
      <c r="E9" s="36">
        <v>28.4</v>
      </c>
      <c r="F9" s="36">
        <v>51.1</v>
      </c>
      <c r="G9" s="36">
        <v>24</v>
      </c>
      <c r="H9" s="35">
        <v>68010</v>
      </c>
      <c r="I9" s="35">
        <v>847.8</v>
      </c>
      <c r="J9" s="36">
        <v>799.8</v>
      </c>
      <c r="K9" s="37" t="s">
        <v>108</v>
      </c>
      <c r="L9" s="36">
        <v>136</v>
      </c>
      <c r="M9" s="36">
        <v>320</v>
      </c>
      <c r="N9" s="35">
        <v>3.5019999999999998</v>
      </c>
      <c r="O9" s="36">
        <v>6.56</v>
      </c>
      <c r="P9" s="35">
        <v>10310000000</v>
      </c>
      <c r="Q9" s="36">
        <v>21710000</v>
      </c>
      <c r="R9" s="36">
        <v>24830000</v>
      </c>
      <c r="S9" s="72">
        <v>389.4</v>
      </c>
      <c r="T9" s="86">
        <v>28480</v>
      </c>
      <c r="U9" s="35">
        <v>655600000</v>
      </c>
      <c r="V9" s="36">
        <v>3085000</v>
      </c>
      <c r="W9" s="36">
        <v>4796000</v>
      </c>
      <c r="X9" s="36">
        <v>98.2</v>
      </c>
      <c r="Y9" s="35">
        <v>158.69999999999999</v>
      </c>
      <c r="Z9" s="36">
        <v>45420000</v>
      </c>
      <c r="AA9" s="36">
        <v>132100000000000</v>
      </c>
      <c r="AB9" s="35">
        <v>1</v>
      </c>
      <c r="AC9" s="72">
        <v>1</v>
      </c>
      <c r="AD9" s="36">
        <v>1</v>
      </c>
      <c r="AE9" s="35">
        <v>1</v>
      </c>
      <c r="AF9" s="36">
        <v>2</v>
      </c>
      <c r="AG9" s="36">
        <v>3</v>
      </c>
    </row>
    <row r="10" spans="1:33" x14ac:dyDescent="0.45">
      <c r="A10" s="43" t="s">
        <v>281</v>
      </c>
      <c r="B10" s="31">
        <v>585</v>
      </c>
      <c r="C10" s="30">
        <v>960</v>
      </c>
      <c r="D10" s="31">
        <v>427</v>
      </c>
      <c r="E10" s="31">
        <v>31</v>
      </c>
      <c r="F10" s="31">
        <v>55.9</v>
      </c>
      <c r="G10" s="31">
        <v>24</v>
      </c>
      <c r="H10" s="30">
        <v>74530</v>
      </c>
      <c r="I10" s="30">
        <v>848.2</v>
      </c>
      <c r="J10" s="31">
        <v>800.2</v>
      </c>
      <c r="K10" s="32" t="s">
        <v>110</v>
      </c>
      <c r="L10" s="31">
        <v>138</v>
      </c>
      <c r="M10" s="31">
        <v>322</v>
      </c>
      <c r="N10" s="30">
        <v>3.5249999999999999</v>
      </c>
      <c r="O10" s="31">
        <v>6.0250000000000004</v>
      </c>
      <c r="P10" s="30">
        <v>11430000000</v>
      </c>
      <c r="Q10" s="31">
        <v>23810000</v>
      </c>
      <c r="R10" s="31">
        <v>27360000</v>
      </c>
      <c r="S10" s="70">
        <v>391.59999999999997</v>
      </c>
      <c r="T10" s="84">
        <v>31200</v>
      </c>
      <c r="U10" s="30">
        <v>727700000</v>
      </c>
      <c r="V10" s="31">
        <v>3408000</v>
      </c>
      <c r="W10" s="31">
        <v>5310000</v>
      </c>
      <c r="X10" s="31">
        <v>98.800000000000011</v>
      </c>
      <c r="Y10" s="30">
        <v>170.9</v>
      </c>
      <c r="Z10" s="31">
        <v>59320000</v>
      </c>
      <c r="AA10" s="31">
        <v>148200000000000</v>
      </c>
      <c r="AB10" s="30">
        <v>1</v>
      </c>
      <c r="AC10" s="70">
        <v>1</v>
      </c>
      <c r="AD10" s="31">
        <v>1</v>
      </c>
      <c r="AE10" s="30">
        <v>1</v>
      </c>
      <c r="AF10" s="31">
        <v>1</v>
      </c>
      <c r="AG10" s="31">
        <v>2</v>
      </c>
    </row>
    <row r="11" spans="1:33" x14ac:dyDescent="0.45">
      <c r="A11" s="40" t="s">
        <v>282</v>
      </c>
      <c r="B11" s="36">
        <v>653</v>
      </c>
      <c r="C11" s="35">
        <v>972</v>
      </c>
      <c r="D11" s="36">
        <v>431</v>
      </c>
      <c r="E11" s="36">
        <v>34.5</v>
      </c>
      <c r="F11" s="36">
        <v>62</v>
      </c>
      <c r="G11" s="36">
        <v>24</v>
      </c>
      <c r="H11" s="35">
        <v>83190</v>
      </c>
      <c r="I11" s="35">
        <v>848</v>
      </c>
      <c r="J11" s="36">
        <v>800</v>
      </c>
      <c r="K11" s="37" t="s">
        <v>108</v>
      </c>
      <c r="L11" s="36">
        <v>144</v>
      </c>
      <c r="M11" s="36">
        <v>320</v>
      </c>
      <c r="N11" s="35">
        <v>3.5579999999999998</v>
      </c>
      <c r="O11" s="36">
        <v>5.4480000000000004</v>
      </c>
      <c r="P11" s="35">
        <v>12920000000</v>
      </c>
      <c r="Q11" s="36">
        <v>26590000</v>
      </c>
      <c r="R11" s="36">
        <v>30730000</v>
      </c>
      <c r="S11" s="72">
        <v>394.09999999999997</v>
      </c>
      <c r="T11" s="86">
        <v>34870</v>
      </c>
      <c r="U11" s="35">
        <v>830500000</v>
      </c>
      <c r="V11" s="36">
        <v>3854000</v>
      </c>
      <c r="W11" s="36">
        <v>6022000</v>
      </c>
      <c r="X11" s="36">
        <v>99.9</v>
      </c>
      <c r="Y11" s="35">
        <v>186.6</v>
      </c>
      <c r="Z11" s="36">
        <v>81240000</v>
      </c>
      <c r="AA11" s="36">
        <v>171300000000000</v>
      </c>
      <c r="AB11" s="35">
        <v>1</v>
      </c>
      <c r="AC11" s="72">
        <v>1</v>
      </c>
      <c r="AD11" s="36">
        <v>1</v>
      </c>
      <c r="AE11" s="35">
        <v>1</v>
      </c>
      <c r="AF11" s="36">
        <v>1</v>
      </c>
      <c r="AG11" s="36">
        <v>1</v>
      </c>
    </row>
    <row r="12" spans="1:33" x14ac:dyDescent="0.45">
      <c r="A12" s="43" t="s">
        <v>283</v>
      </c>
      <c r="B12" s="31">
        <v>784</v>
      </c>
      <c r="C12" s="30">
        <v>996</v>
      </c>
      <c r="D12" s="31">
        <v>437</v>
      </c>
      <c r="E12" s="31">
        <v>40.9</v>
      </c>
      <c r="F12" s="31">
        <v>73.900000000000006</v>
      </c>
      <c r="G12" s="31">
        <v>24</v>
      </c>
      <c r="H12" s="30">
        <v>99770</v>
      </c>
      <c r="I12" s="30">
        <v>848.2</v>
      </c>
      <c r="J12" s="31">
        <v>800.2</v>
      </c>
      <c r="K12" s="32" t="s">
        <v>110</v>
      </c>
      <c r="L12" s="31">
        <v>152</v>
      </c>
      <c r="M12" s="31">
        <v>326</v>
      </c>
      <c r="N12" s="30">
        <v>3.617</v>
      </c>
      <c r="O12" s="31">
        <v>4.6180000000000003</v>
      </c>
      <c r="P12" s="30">
        <v>15930000000</v>
      </c>
      <c r="Q12" s="31">
        <v>31980000</v>
      </c>
      <c r="R12" s="31">
        <v>37340000</v>
      </c>
      <c r="S12" s="70">
        <v>399.5</v>
      </c>
      <c r="T12" s="84">
        <v>41760</v>
      </c>
      <c r="U12" s="30">
        <v>1033000000</v>
      </c>
      <c r="V12" s="31">
        <v>4728000</v>
      </c>
      <c r="W12" s="31">
        <v>7424000</v>
      </c>
      <c r="X12" s="31">
        <v>101.8</v>
      </c>
      <c r="Y12" s="30">
        <v>216.8</v>
      </c>
      <c r="Z12" s="31">
        <v>137300000</v>
      </c>
      <c r="AA12" s="31">
        <v>218500000000000</v>
      </c>
      <c r="AB12" s="30">
        <v>1</v>
      </c>
      <c r="AC12" s="70">
        <v>1</v>
      </c>
      <c r="AD12" s="32" t="s">
        <v>43</v>
      </c>
      <c r="AE12" s="30">
        <v>1</v>
      </c>
      <c r="AF12" s="31">
        <v>1</v>
      </c>
      <c r="AG12" s="32" t="s">
        <v>43</v>
      </c>
    </row>
    <row r="13" spans="1:33" x14ac:dyDescent="0.45">
      <c r="A13" s="40" t="s">
        <v>284</v>
      </c>
      <c r="B13" s="36">
        <v>967</v>
      </c>
      <c r="C13" s="35">
        <v>1028</v>
      </c>
      <c r="D13" s="36">
        <v>446</v>
      </c>
      <c r="E13" s="36">
        <v>50</v>
      </c>
      <c r="F13" s="36">
        <v>89.9</v>
      </c>
      <c r="G13" s="36">
        <v>24</v>
      </c>
      <c r="H13" s="35">
        <v>123100</v>
      </c>
      <c r="I13" s="35">
        <v>848.2</v>
      </c>
      <c r="J13" s="36">
        <v>800.2</v>
      </c>
      <c r="K13" s="37" t="s">
        <v>108</v>
      </c>
      <c r="L13" s="36">
        <v>160</v>
      </c>
      <c r="M13" s="36">
        <v>334</v>
      </c>
      <c r="N13" s="35">
        <v>3.6989999999999998</v>
      </c>
      <c r="O13" s="36">
        <v>3.8279999999999998</v>
      </c>
      <c r="P13" s="35">
        <v>20330000000</v>
      </c>
      <c r="Q13" s="36">
        <v>39540000</v>
      </c>
      <c r="R13" s="36">
        <v>46810000</v>
      </c>
      <c r="S13" s="72">
        <v>406.4</v>
      </c>
      <c r="T13" s="86">
        <v>51710</v>
      </c>
      <c r="U13" s="35">
        <v>1339000000</v>
      </c>
      <c r="V13" s="36">
        <v>6003000</v>
      </c>
      <c r="W13" s="36">
        <v>9486000</v>
      </c>
      <c r="X13" s="36">
        <v>104.3</v>
      </c>
      <c r="Y13" s="35">
        <v>257.89999999999998</v>
      </c>
      <c r="Z13" s="36">
        <v>249300000</v>
      </c>
      <c r="AA13" s="36">
        <v>292400000000000</v>
      </c>
      <c r="AB13" s="35">
        <v>1</v>
      </c>
      <c r="AC13" s="72">
        <v>1</v>
      </c>
      <c r="AD13" s="37" t="s">
        <v>34</v>
      </c>
      <c r="AE13" s="35">
        <v>1</v>
      </c>
      <c r="AF13" s="36">
        <v>1</v>
      </c>
      <c r="AG13" s="37" t="s">
        <v>34</v>
      </c>
    </row>
    <row r="14" spans="1:33" x14ac:dyDescent="0.45">
      <c r="A14" s="40" t="s">
        <v>285</v>
      </c>
      <c r="B14" s="36">
        <v>344</v>
      </c>
      <c r="C14" s="35">
        <v>927</v>
      </c>
      <c r="D14" s="36">
        <v>418</v>
      </c>
      <c r="E14" s="36">
        <v>19.3</v>
      </c>
      <c r="F14" s="36">
        <v>32</v>
      </c>
      <c r="G14" s="36">
        <v>19</v>
      </c>
      <c r="H14" s="35">
        <v>43720</v>
      </c>
      <c r="I14" s="35">
        <v>863</v>
      </c>
      <c r="J14" s="36">
        <v>825</v>
      </c>
      <c r="K14" s="37" t="s">
        <v>108</v>
      </c>
      <c r="L14" s="36">
        <v>126</v>
      </c>
      <c r="M14" s="36">
        <v>312</v>
      </c>
      <c r="N14" s="35">
        <v>3.4550000000000001</v>
      </c>
      <c r="O14" s="36">
        <v>10.07</v>
      </c>
      <c r="P14" s="35">
        <v>6450000000</v>
      </c>
      <c r="Q14" s="36">
        <v>13920000</v>
      </c>
      <c r="R14" s="36">
        <v>15700000</v>
      </c>
      <c r="S14" s="72">
        <v>384.09999999999997</v>
      </c>
      <c r="T14" s="86">
        <v>18800</v>
      </c>
      <c r="U14" s="35">
        <v>390100000</v>
      </c>
      <c r="V14" s="36">
        <v>1867000</v>
      </c>
      <c r="W14" s="36">
        <v>2880000</v>
      </c>
      <c r="X14" s="36">
        <v>94.5</v>
      </c>
      <c r="Y14" s="35">
        <v>105.6</v>
      </c>
      <c r="Z14" s="36">
        <v>11590000</v>
      </c>
      <c r="AA14" s="36">
        <v>78120000000000</v>
      </c>
      <c r="AB14" s="35">
        <v>1</v>
      </c>
      <c r="AC14" s="72">
        <v>1</v>
      </c>
      <c r="AD14" s="36">
        <v>1</v>
      </c>
      <c r="AE14" s="35">
        <v>4</v>
      </c>
      <c r="AF14" s="36">
        <v>4</v>
      </c>
      <c r="AG14" s="36">
        <v>4</v>
      </c>
    </row>
    <row r="15" spans="1:33" x14ac:dyDescent="0.45">
      <c r="A15" s="43" t="s">
        <v>286</v>
      </c>
      <c r="B15" s="31">
        <v>368</v>
      </c>
      <c r="C15" s="30">
        <v>931</v>
      </c>
      <c r="D15" s="31">
        <v>419</v>
      </c>
      <c r="E15" s="31">
        <v>20.3</v>
      </c>
      <c r="F15" s="31">
        <v>34.299999999999997</v>
      </c>
      <c r="G15" s="31">
        <v>19</v>
      </c>
      <c r="H15" s="30">
        <v>46560</v>
      </c>
      <c r="I15" s="30">
        <v>862.4</v>
      </c>
      <c r="J15" s="31">
        <v>824.4</v>
      </c>
      <c r="K15" s="32" t="s">
        <v>110</v>
      </c>
      <c r="L15" s="31">
        <v>128</v>
      </c>
      <c r="M15" s="31">
        <v>314</v>
      </c>
      <c r="N15" s="30">
        <v>3.4649999999999999</v>
      </c>
      <c r="O15" s="31">
        <v>9.48</v>
      </c>
      <c r="P15" s="30">
        <v>6922000000</v>
      </c>
      <c r="Q15" s="31">
        <v>14870000</v>
      </c>
      <c r="R15" s="31">
        <v>16790000</v>
      </c>
      <c r="S15" s="70">
        <v>385.6</v>
      </c>
      <c r="T15" s="84">
        <v>19820</v>
      </c>
      <c r="U15" s="30">
        <v>421200000</v>
      </c>
      <c r="V15" s="31">
        <v>2010000</v>
      </c>
      <c r="W15" s="31">
        <v>3104000</v>
      </c>
      <c r="X15" s="31">
        <v>95.1</v>
      </c>
      <c r="Y15" s="30">
        <v>111.2</v>
      </c>
      <c r="Z15" s="31">
        <v>14080000</v>
      </c>
      <c r="AA15" s="31">
        <v>84670000000000</v>
      </c>
      <c r="AB15" s="30">
        <v>1</v>
      </c>
      <c r="AC15" s="70">
        <v>1</v>
      </c>
      <c r="AD15" s="31">
        <v>1</v>
      </c>
      <c r="AE15" s="30">
        <v>3</v>
      </c>
      <c r="AF15" s="31">
        <v>4</v>
      </c>
      <c r="AG15" s="31">
        <v>4</v>
      </c>
    </row>
    <row r="16" spans="1:33" x14ac:dyDescent="0.45">
      <c r="A16" s="40" t="s">
        <v>287</v>
      </c>
      <c r="B16" s="36">
        <v>390</v>
      </c>
      <c r="C16" s="35">
        <v>936</v>
      </c>
      <c r="D16" s="36">
        <v>420</v>
      </c>
      <c r="E16" s="36">
        <v>21.3</v>
      </c>
      <c r="F16" s="36">
        <v>36.6</v>
      </c>
      <c r="G16" s="36">
        <v>19</v>
      </c>
      <c r="H16" s="35">
        <v>49430</v>
      </c>
      <c r="I16" s="35">
        <v>862.8</v>
      </c>
      <c r="J16" s="36">
        <v>824.8</v>
      </c>
      <c r="K16" s="37" t="s">
        <v>108</v>
      </c>
      <c r="L16" s="36">
        <v>128</v>
      </c>
      <c r="M16" s="36">
        <v>314</v>
      </c>
      <c r="N16" s="35">
        <v>3.4769999999999999</v>
      </c>
      <c r="O16" s="36">
        <v>8.9600000000000009</v>
      </c>
      <c r="P16" s="35">
        <v>7417000000</v>
      </c>
      <c r="Q16" s="36">
        <v>15850000</v>
      </c>
      <c r="R16" s="36">
        <v>17920000</v>
      </c>
      <c r="S16" s="72">
        <v>387.40000000000003</v>
      </c>
      <c r="T16" s="86">
        <v>20860</v>
      </c>
      <c r="U16" s="35">
        <v>452700000</v>
      </c>
      <c r="V16" s="36">
        <v>2156000</v>
      </c>
      <c r="W16" s="36">
        <v>3331000</v>
      </c>
      <c r="X16" s="36">
        <v>95.7</v>
      </c>
      <c r="Y16" s="35">
        <v>116.8</v>
      </c>
      <c r="Z16" s="36">
        <v>16910000</v>
      </c>
      <c r="AA16" s="36">
        <v>91550000000000</v>
      </c>
      <c r="AB16" s="35">
        <v>1</v>
      </c>
      <c r="AC16" s="72">
        <v>1</v>
      </c>
      <c r="AD16" s="36">
        <v>1</v>
      </c>
      <c r="AE16" s="35">
        <v>3</v>
      </c>
      <c r="AF16" s="36">
        <v>4</v>
      </c>
      <c r="AG16" s="36">
        <v>4</v>
      </c>
    </row>
    <row r="17" spans="1:33" x14ac:dyDescent="0.45">
      <c r="A17" s="43" t="s">
        <v>288</v>
      </c>
      <c r="B17" s="31">
        <v>420</v>
      </c>
      <c r="C17" s="30">
        <v>943</v>
      </c>
      <c r="D17" s="31">
        <v>422</v>
      </c>
      <c r="E17" s="31">
        <v>22.5</v>
      </c>
      <c r="F17" s="31">
        <v>39.9</v>
      </c>
      <c r="G17" s="31">
        <v>19</v>
      </c>
      <c r="H17" s="30">
        <v>53410</v>
      </c>
      <c r="I17" s="30">
        <v>863.2</v>
      </c>
      <c r="J17" s="31">
        <v>825.2</v>
      </c>
      <c r="K17" s="32" t="s">
        <v>110</v>
      </c>
      <c r="L17" s="31">
        <v>130</v>
      </c>
      <c r="M17" s="31">
        <v>316</v>
      </c>
      <c r="N17" s="30">
        <v>3.496</v>
      </c>
      <c r="O17" s="31">
        <v>8.34</v>
      </c>
      <c r="P17" s="30">
        <v>8133000000</v>
      </c>
      <c r="Q17" s="31">
        <v>17250000</v>
      </c>
      <c r="R17" s="31">
        <v>19530000</v>
      </c>
      <c r="S17" s="70">
        <v>390.20000000000005</v>
      </c>
      <c r="T17" s="84">
        <v>22150</v>
      </c>
      <c r="U17" s="30">
        <v>500700000</v>
      </c>
      <c r="V17" s="31">
        <v>2373000</v>
      </c>
      <c r="W17" s="31">
        <v>3667000</v>
      </c>
      <c r="X17" s="31">
        <v>96.8</v>
      </c>
      <c r="Y17" s="30">
        <v>124.6</v>
      </c>
      <c r="Z17" s="31">
        <v>21510000</v>
      </c>
      <c r="AA17" s="31">
        <v>102100000000000</v>
      </c>
      <c r="AB17" s="30">
        <v>1</v>
      </c>
      <c r="AC17" s="70">
        <v>1</v>
      </c>
      <c r="AD17" s="31">
        <v>1</v>
      </c>
      <c r="AE17" s="30">
        <v>2</v>
      </c>
      <c r="AF17" s="31">
        <v>4</v>
      </c>
      <c r="AG17" s="31">
        <v>4</v>
      </c>
    </row>
    <row r="18" spans="1:33" x14ac:dyDescent="0.45">
      <c r="A18" s="40" t="s">
        <v>289</v>
      </c>
      <c r="B18" s="36">
        <v>449</v>
      </c>
      <c r="C18" s="35">
        <v>948</v>
      </c>
      <c r="D18" s="36">
        <v>423</v>
      </c>
      <c r="E18" s="36">
        <v>24</v>
      </c>
      <c r="F18" s="36">
        <v>42.7</v>
      </c>
      <c r="G18" s="36">
        <v>19</v>
      </c>
      <c r="H18" s="35">
        <v>57140</v>
      </c>
      <c r="I18" s="35">
        <v>862.6</v>
      </c>
      <c r="J18" s="36">
        <v>824.6</v>
      </c>
      <c r="K18" s="37" t="s">
        <v>108</v>
      </c>
      <c r="L18" s="36">
        <v>130</v>
      </c>
      <c r="M18" s="36">
        <v>318</v>
      </c>
      <c r="N18" s="35">
        <v>3.5070000000000001</v>
      </c>
      <c r="O18" s="36">
        <v>7.82</v>
      </c>
      <c r="P18" s="35">
        <v>8747000000</v>
      </c>
      <c r="Q18" s="36">
        <v>18450000</v>
      </c>
      <c r="R18" s="36">
        <v>20950000</v>
      </c>
      <c r="S18" s="72">
        <v>391.3</v>
      </c>
      <c r="T18" s="86">
        <v>23660</v>
      </c>
      <c r="U18" s="35">
        <v>539700000</v>
      </c>
      <c r="V18" s="36">
        <v>2552000</v>
      </c>
      <c r="W18" s="36">
        <v>3949000</v>
      </c>
      <c r="X18" s="36">
        <v>97.2</v>
      </c>
      <c r="Y18" s="35">
        <v>131.69999999999999</v>
      </c>
      <c r="Z18" s="36">
        <v>26270000</v>
      </c>
      <c r="AA18" s="36">
        <v>110600000000000</v>
      </c>
      <c r="AB18" s="35">
        <v>1</v>
      </c>
      <c r="AC18" s="72">
        <v>1</v>
      </c>
      <c r="AD18" s="36">
        <v>1</v>
      </c>
      <c r="AE18" s="35">
        <v>2</v>
      </c>
      <c r="AF18" s="36">
        <v>4</v>
      </c>
      <c r="AG18" s="36">
        <v>4</v>
      </c>
    </row>
    <row r="19" spans="1:33" x14ac:dyDescent="0.45">
      <c r="A19" s="43" t="s">
        <v>290</v>
      </c>
      <c r="B19" s="31">
        <v>491</v>
      </c>
      <c r="C19" s="30">
        <v>957</v>
      </c>
      <c r="D19" s="31">
        <v>422</v>
      </c>
      <c r="E19" s="31">
        <v>25.9</v>
      </c>
      <c r="F19" s="31">
        <v>47</v>
      </c>
      <c r="G19" s="31">
        <v>19</v>
      </c>
      <c r="H19" s="30">
        <v>62329.999999999993</v>
      </c>
      <c r="I19" s="30">
        <v>863</v>
      </c>
      <c r="J19" s="31">
        <v>825</v>
      </c>
      <c r="K19" s="32" t="s">
        <v>110</v>
      </c>
      <c r="L19" s="31">
        <v>132</v>
      </c>
      <c r="M19" s="31">
        <v>316</v>
      </c>
      <c r="N19" s="30">
        <v>3.5179999999999998</v>
      </c>
      <c r="O19" s="31">
        <v>7.1890000000000001</v>
      </c>
      <c r="P19" s="30">
        <v>9663000000</v>
      </c>
      <c r="Q19" s="31">
        <v>20200000</v>
      </c>
      <c r="R19" s="31">
        <v>23000000</v>
      </c>
      <c r="S19" s="70">
        <v>393.7</v>
      </c>
      <c r="T19" s="84">
        <v>25660.000000000004</v>
      </c>
      <c r="U19" s="30">
        <v>590000000</v>
      </c>
      <c r="V19" s="31">
        <v>2796000</v>
      </c>
      <c r="W19" s="31">
        <v>4335000</v>
      </c>
      <c r="X19" s="31">
        <v>97.300000000000011</v>
      </c>
      <c r="Y19" s="30">
        <v>142.19999999999999</v>
      </c>
      <c r="Z19" s="31">
        <v>34410000</v>
      </c>
      <c r="AA19" s="31">
        <v>122200000000000</v>
      </c>
      <c r="AB19" s="30">
        <v>1</v>
      </c>
      <c r="AC19" s="70">
        <v>1</v>
      </c>
      <c r="AD19" s="31">
        <v>1</v>
      </c>
      <c r="AE19" s="30">
        <v>1</v>
      </c>
      <c r="AF19" s="31">
        <v>3</v>
      </c>
      <c r="AG19" s="31">
        <v>4</v>
      </c>
    </row>
    <row r="20" spans="1:33" x14ac:dyDescent="0.45">
      <c r="A20" s="40" t="s">
        <v>291</v>
      </c>
      <c r="B20" s="36">
        <v>537</v>
      </c>
      <c r="C20" s="35">
        <v>965</v>
      </c>
      <c r="D20" s="36">
        <v>425</v>
      </c>
      <c r="E20" s="36">
        <v>28.4</v>
      </c>
      <c r="F20" s="36">
        <v>51.1</v>
      </c>
      <c r="G20" s="36">
        <v>19</v>
      </c>
      <c r="H20" s="35">
        <v>68250</v>
      </c>
      <c r="I20" s="35">
        <v>862.8</v>
      </c>
      <c r="J20" s="36">
        <v>824.8</v>
      </c>
      <c r="K20" s="37" t="s">
        <v>108</v>
      </c>
      <c r="L20" s="36">
        <v>136</v>
      </c>
      <c r="M20" s="36">
        <v>320</v>
      </c>
      <c r="N20" s="35">
        <v>3.5409999999999999</v>
      </c>
      <c r="O20" s="36">
        <v>6.609</v>
      </c>
      <c r="P20" s="35">
        <v>10660000000</v>
      </c>
      <c r="Q20" s="36">
        <v>22080000</v>
      </c>
      <c r="R20" s="36">
        <v>25270000</v>
      </c>
      <c r="S20" s="72">
        <v>395.09999999999997</v>
      </c>
      <c r="T20" s="86">
        <v>28210.000000000004</v>
      </c>
      <c r="U20" s="35">
        <v>655500000</v>
      </c>
      <c r="V20" s="36">
        <v>3085000</v>
      </c>
      <c r="W20" s="36">
        <v>4795000</v>
      </c>
      <c r="X20" s="36">
        <v>98</v>
      </c>
      <c r="Y20" s="35">
        <v>152.9</v>
      </c>
      <c r="Z20" s="36">
        <v>44470000</v>
      </c>
      <c r="AA20" s="36">
        <v>136900000000000</v>
      </c>
      <c r="AB20" s="35">
        <v>1</v>
      </c>
      <c r="AC20" s="72">
        <v>1</v>
      </c>
      <c r="AD20" s="36">
        <v>1</v>
      </c>
      <c r="AE20" s="35">
        <v>1</v>
      </c>
      <c r="AF20" s="36">
        <v>2</v>
      </c>
      <c r="AG20" s="36">
        <v>3</v>
      </c>
    </row>
    <row r="21" spans="1:33" x14ac:dyDescent="0.45">
      <c r="A21" s="43" t="s">
        <v>292</v>
      </c>
      <c r="B21" s="31">
        <v>588</v>
      </c>
      <c r="C21" s="30">
        <v>975</v>
      </c>
      <c r="D21" s="31">
        <v>427</v>
      </c>
      <c r="E21" s="31">
        <v>31</v>
      </c>
      <c r="F21" s="31">
        <v>55.9</v>
      </c>
      <c r="G21" s="31">
        <v>19</v>
      </c>
      <c r="H21" s="30">
        <v>74810</v>
      </c>
      <c r="I21" s="30">
        <v>863.2</v>
      </c>
      <c r="J21" s="31">
        <v>825.2</v>
      </c>
      <c r="K21" s="32" t="s">
        <v>110</v>
      </c>
      <c r="L21" s="31">
        <v>138</v>
      </c>
      <c r="M21" s="31">
        <v>322</v>
      </c>
      <c r="N21" s="30">
        <v>3.5630000000000002</v>
      </c>
      <c r="O21" s="31">
        <v>6.0679999999999996</v>
      </c>
      <c r="P21" s="30">
        <v>11810000000</v>
      </c>
      <c r="Q21" s="31">
        <v>24230000</v>
      </c>
      <c r="R21" s="31">
        <v>27840000</v>
      </c>
      <c r="S21" s="70">
        <v>397.40000000000003</v>
      </c>
      <c r="T21" s="84">
        <v>30930</v>
      </c>
      <c r="U21" s="30">
        <v>727600000</v>
      </c>
      <c r="V21" s="31">
        <v>3408000</v>
      </c>
      <c r="W21" s="31">
        <v>5310000</v>
      </c>
      <c r="X21" s="31">
        <v>98.6</v>
      </c>
      <c r="Y21" s="30">
        <v>165.1</v>
      </c>
      <c r="Z21" s="31">
        <v>58600000</v>
      </c>
      <c r="AA21" s="31">
        <v>153200000000000</v>
      </c>
      <c r="AB21" s="30">
        <v>1</v>
      </c>
      <c r="AC21" s="70">
        <v>1</v>
      </c>
      <c r="AD21" s="31">
        <v>1</v>
      </c>
      <c r="AE21" s="30">
        <v>1</v>
      </c>
      <c r="AF21" s="31">
        <v>1</v>
      </c>
      <c r="AG21" s="31">
        <v>2</v>
      </c>
    </row>
    <row r="22" spans="1:33" x14ac:dyDescent="0.45">
      <c r="A22" s="40" t="s">
        <v>293</v>
      </c>
      <c r="B22" s="36">
        <v>656</v>
      </c>
      <c r="C22" s="35">
        <v>987</v>
      </c>
      <c r="D22" s="36">
        <v>431</v>
      </c>
      <c r="E22" s="36">
        <v>34.5</v>
      </c>
      <c r="F22" s="36">
        <v>62</v>
      </c>
      <c r="G22" s="36">
        <v>19</v>
      </c>
      <c r="H22" s="35">
        <v>83530</v>
      </c>
      <c r="I22" s="35">
        <v>863</v>
      </c>
      <c r="J22" s="36">
        <v>825</v>
      </c>
      <c r="K22" s="37" t="s">
        <v>108</v>
      </c>
      <c r="L22" s="36">
        <v>144</v>
      </c>
      <c r="M22" s="36">
        <v>320</v>
      </c>
      <c r="N22" s="35">
        <v>3.5960000000000001</v>
      </c>
      <c r="O22" s="36">
        <v>5.4850000000000003</v>
      </c>
      <c r="P22" s="35">
        <v>13350000000</v>
      </c>
      <c r="Q22" s="36">
        <v>27060000</v>
      </c>
      <c r="R22" s="36">
        <v>31270000</v>
      </c>
      <c r="S22" s="72">
        <v>399.79999999999995</v>
      </c>
      <c r="T22" s="86">
        <v>34580</v>
      </c>
      <c r="U22" s="35">
        <v>830400000</v>
      </c>
      <c r="V22" s="36">
        <v>3853000</v>
      </c>
      <c r="W22" s="36">
        <v>6022000</v>
      </c>
      <c r="X22" s="36">
        <v>99.7</v>
      </c>
      <c r="Y22" s="35">
        <v>180.8</v>
      </c>
      <c r="Z22" s="36">
        <v>79500000</v>
      </c>
      <c r="AA22" s="36">
        <v>177600000000000</v>
      </c>
      <c r="AB22" s="35">
        <v>1</v>
      </c>
      <c r="AC22" s="72">
        <v>1</v>
      </c>
      <c r="AD22" s="36">
        <v>1</v>
      </c>
      <c r="AE22" s="35">
        <v>1</v>
      </c>
      <c r="AF22" s="36">
        <v>1</v>
      </c>
      <c r="AG22" s="36">
        <v>2</v>
      </c>
    </row>
    <row r="23" spans="1:33" x14ac:dyDescent="0.45">
      <c r="A23" s="43" t="s">
        <v>294</v>
      </c>
      <c r="B23" s="31">
        <v>725</v>
      </c>
      <c r="C23" s="30">
        <v>999</v>
      </c>
      <c r="D23" s="31">
        <v>434</v>
      </c>
      <c r="E23" s="31">
        <v>38.1</v>
      </c>
      <c r="F23" s="31">
        <v>68.099999999999994</v>
      </c>
      <c r="G23" s="31">
        <v>19</v>
      </c>
      <c r="H23" s="30">
        <v>92290</v>
      </c>
      <c r="I23" s="30">
        <v>862.8</v>
      </c>
      <c r="J23" s="31">
        <v>824.8</v>
      </c>
      <c r="K23" s="32" t="s">
        <v>110</v>
      </c>
      <c r="L23" s="31">
        <v>148</v>
      </c>
      <c r="M23" s="31">
        <v>323</v>
      </c>
      <c r="N23" s="30">
        <v>3.625</v>
      </c>
      <c r="O23" s="31">
        <v>5.0039999999999996</v>
      </c>
      <c r="P23" s="30">
        <v>14920000000</v>
      </c>
      <c r="Q23" s="31">
        <v>29880000</v>
      </c>
      <c r="R23" s="31">
        <v>34740000</v>
      </c>
      <c r="S23" s="70">
        <v>402.1</v>
      </c>
      <c r="T23" s="84">
        <v>38360</v>
      </c>
      <c r="U23" s="30">
        <v>932000000</v>
      </c>
      <c r="V23" s="31">
        <v>4295000</v>
      </c>
      <c r="W23" s="31">
        <v>6734000</v>
      </c>
      <c r="X23" s="31">
        <v>100.5</v>
      </c>
      <c r="Y23" s="30">
        <v>196.6</v>
      </c>
      <c r="Z23" s="31">
        <v>105700000</v>
      </c>
      <c r="AA23" s="31">
        <v>201900000000000</v>
      </c>
      <c r="AB23" s="30">
        <v>1</v>
      </c>
      <c r="AC23" s="70">
        <v>1</v>
      </c>
      <c r="AD23" s="31">
        <v>1</v>
      </c>
      <c r="AE23" s="30">
        <v>1</v>
      </c>
      <c r="AF23" s="31">
        <v>1</v>
      </c>
      <c r="AG23" s="31">
        <v>1</v>
      </c>
    </row>
    <row r="24" spans="1:33" x14ac:dyDescent="0.45">
      <c r="A24" s="40" t="s">
        <v>295</v>
      </c>
      <c r="B24" s="36">
        <v>787</v>
      </c>
      <c r="C24" s="35">
        <v>1011</v>
      </c>
      <c r="D24" s="36">
        <v>437</v>
      </c>
      <c r="E24" s="36">
        <v>40.9</v>
      </c>
      <c r="F24" s="36">
        <v>73.900000000000006</v>
      </c>
      <c r="G24" s="36">
        <v>19</v>
      </c>
      <c r="H24" s="35">
        <v>100200</v>
      </c>
      <c r="I24" s="35">
        <v>863.2</v>
      </c>
      <c r="J24" s="36">
        <v>825.2</v>
      </c>
      <c r="K24" s="37" t="s">
        <v>108</v>
      </c>
      <c r="L24" s="36">
        <v>152</v>
      </c>
      <c r="M24" s="36">
        <v>326</v>
      </c>
      <c r="N24" s="35">
        <v>3.6560000000000001</v>
      </c>
      <c r="O24" s="36">
        <v>4.6470000000000002</v>
      </c>
      <c r="P24" s="35">
        <v>16460000000</v>
      </c>
      <c r="Q24" s="36">
        <v>32560000</v>
      </c>
      <c r="R24" s="36">
        <v>38010000</v>
      </c>
      <c r="S24" s="72">
        <v>405.3</v>
      </c>
      <c r="T24" s="86">
        <v>41450</v>
      </c>
      <c r="U24" s="35">
        <v>1033000000</v>
      </c>
      <c r="V24" s="36">
        <v>4728000</v>
      </c>
      <c r="W24" s="36">
        <v>7425000</v>
      </c>
      <c r="X24" s="36">
        <v>101.5</v>
      </c>
      <c r="Y24" s="35">
        <v>211</v>
      </c>
      <c r="Z24" s="36">
        <v>134300000</v>
      </c>
      <c r="AA24" s="36">
        <v>226800000000000</v>
      </c>
      <c r="AB24" s="35">
        <v>1</v>
      </c>
      <c r="AC24" s="72">
        <v>1</v>
      </c>
      <c r="AD24" s="36">
        <v>1</v>
      </c>
      <c r="AE24" s="35">
        <v>1</v>
      </c>
      <c r="AF24" s="36">
        <v>1</v>
      </c>
      <c r="AG24" s="36">
        <v>1</v>
      </c>
    </row>
    <row r="25" spans="1:33" x14ac:dyDescent="0.45">
      <c r="A25" s="43" t="s">
        <v>296</v>
      </c>
      <c r="B25" s="31">
        <v>970</v>
      </c>
      <c r="C25" s="30">
        <v>1043</v>
      </c>
      <c r="D25" s="31">
        <v>446</v>
      </c>
      <c r="E25" s="31">
        <v>50</v>
      </c>
      <c r="F25" s="31">
        <v>89.9</v>
      </c>
      <c r="G25" s="31">
        <v>19</v>
      </c>
      <c r="H25" s="30">
        <v>123700</v>
      </c>
      <c r="I25" s="30">
        <v>863.2</v>
      </c>
      <c r="J25" s="31">
        <v>825.2</v>
      </c>
      <c r="K25" s="32" t="s">
        <v>110</v>
      </c>
      <c r="L25" s="31">
        <v>160</v>
      </c>
      <c r="M25" s="31">
        <v>334</v>
      </c>
      <c r="N25" s="30">
        <v>3.7370000000000001</v>
      </c>
      <c r="O25" s="31">
        <v>3.85</v>
      </c>
      <c r="P25" s="30">
        <v>21000000000</v>
      </c>
      <c r="Q25" s="31">
        <v>40270000</v>
      </c>
      <c r="R25" s="31">
        <v>47660000</v>
      </c>
      <c r="S25" s="70">
        <v>412.1</v>
      </c>
      <c r="T25" s="84">
        <v>51379.999999999993</v>
      </c>
      <c r="U25" s="30">
        <v>1339000000</v>
      </c>
      <c r="V25" s="31">
        <v>6002000</v>
      </c>
      <c r="W25" s="31">
        <v>9490000</v>
      </c>
      <c r="X25" s="31">
        <v>104</v>
      </c>
      <c r="Y25" s="30">
        <v>252.1</v>
      </c>
      <c r="Z25" s="31">
        <v>243200000</v>
      </c>
      <c r="AA25" s="31">
        <v>304000000000000</v>
      </c>
      <c r="AB25" s="30">
        <v>1</v>
      </c>
      <c r="AC25" s="70">
        <v>1</v>
      </c>
      <c r="AD25" s="31">
        <v>1</v>
      </c>
      <c r="AE25" s="30">
        <v>1</v>
      </c>
      <c r="AF25" s="31">
        <v>1</v>
      </c>
      <c r="AG25" s="31">
        <v>1</v>
      </c>
    </row>
    <row r="26" spans="1:33" x14ac:dyDescent="0.45">
      <c r="A26" s="43" t="s">
        <v>297</v>
      </c>
      <c r="B26" s="31">
        <v>296</v>
      </c>
      <c r="C26" s="30">
        <v>982</v>
      </c>
      <c r="D26" s="31">
        <v>400</v>
      </c>
      <c r="E26" s="31">
        <v>16.5</v>
      </c>
      <c r="F26" s="31">
        <v>27.1</v>
      </c>
      <c r="G26" s="31">
        <v>30</v>
      </c>
      <c r="H26" s="30">
        <v>37760</v>
      </c>
      <c r="I26" s="30">
        <v>928</v>
      </c>
      <c r="J26" s="31">
        <v>868</v>
      </c>
      <c r="K26" s="32" t="s">
        <v>110</v>
      </c>
      <c r="L26" s="31">
        <v>134</v>
      </c>
      <c r="M26" s="31">
        <v>294</v>
      </c>
      <c r="N26" s="30">
        <v>3.4790000000000001</v>
      </c>
      <c r="O26" s="31">
        <v>11.74</v>
      </c>
      <c r="P26" s="30">
        <v>6203000000</v>
      </c>
      <c r="Q26" s="31">
        <v>12630000</v>
      </c>
      <c r="R26" s="31">
        <v>14260000</v>
      </c>
      <c r="S26" s="70">
        <v>405.3</v>
      </c>
      <c r="T26" s="84">
        <v>18150</v>
      </c>
      <c r="U26" s="30">
        <v>289600000</v>
      </c>
      <c r="V26" s="31">
        <v>1448000</v>
      </c>
      <c r="W26" s="31">
        <v>2243000</v>
      </c>
      <c r="X26" s="31">
        <v>87.6</v>
      </c>
      <c r="Y26" s="30">
        <v>105.8</v>
      </c>
      <c r="Z26" s="31">
        <v>7626000</v>
      </c>
      <c r="AA26" s="31">
        <v>65900000000000</v>
      </c>
      <c r="AB26" s="30">
        <v>1</v>
      </c>
      <c r="AC26" s="70">
        <v>1</v>
      </c>
      <c r="AD26" s="31">
        <v>2</v>
      </c>
      <c r="AE26" s="30">
        <v>4</v>
      </c>
      <c r="AF26" s="31">
        <v>4</v>
      </c>
      <c r="AG26" s="31">
        <v>4</v>
      </c>
    </row>
    <row r="27" spans="1:33" x14ac:dyDescent="0.45">
      <c r="A27" s="40" t="s">
        <v>298</v>
      </c>
      <c r="B27" s="36">
        <v>321</v>
      </c>
      <c r="C27" s="35">
        <v>990</v>
      </c>
      <c r="D27" s="36">
        <v>400</v>
      </c>
      <c r="E27" s="36">
        <v>16.5</v>
      </c>
      <c r="F27" s="36">
        <v>31</v>
      </c>
      <c r="G27" s="36">
        <v>30</v>
      </c>
      <c r="H27" s="35">
        <v>40880</v>
      </c>
      <c r="I27" s="35">
        <v>928</v>
      </c>
      <c r="J27" s="36">
        <v>868</v>
      </c>
      <c r="K27" s="37" t="s">
        <v>108</v>
      </c>
      <c r="L27" s="36">
        <v>134</v>
      </c>
      <c r="M27" s="36">
        <v>294</v>
      </c>
      <c r="N27" s="35">
        <v>3.4950000000000001</v>
      </c>
      <c r="O27" s="36">
        <v>10.89</v>
      </c>
      <c r="P27" s="35">
        <v>6964000000</v>
      </c>
      <c r="Q27" s="36">
        <v>14070000</v>
      </c>
      <c r="R27" s="36">
        <v>15800000</v>
      </c>
      <c r="S27" s="72">
        <v>412.70000000000005</v>
      </c>
      <c r="T27" s="86">
        <v>18460</v>
      </c>
      <c r="U27" s="35">
        <v>331200000</v>
      </c>
      <c r="V27" s="36">
        <v>1656000</v>
      </c>
      <c r="W27" s="36">
        <v>2555000</v>
      </c>
      <c r="X27" s="36">
        <v>90</v>
      </c>
      <c r="Y27" s="35">
        <v>113.6</v>
      </c>
      <c r="Z27" s="36">
        <v>10210000</v>
      </c>
      <c r="AA27" s="36">
        <v>76030000000000</v>
      </c>
      <c r="AB27" s="35">
        <v>1</v>
      </c>
      <c r="AC27" s="72">
        <v>1</v>
      </c>
      <c r="AD27" s="36">
        <v>2</v>
      </c>
      <c r="AE27" s="35">
        <v>4</v>
      </c>
      <c r="AF27" s="36">
        <v>4</v>
      </c>
      <c r="AG27" s="36">
        <v>4</v>
      </c>
    </row>
    <row r="28" spans="1:33" x14ac:dyDescent="0.45">
      <c r="A28" s="43" t="s">
        <v>299</v>
      </c>
      <c r="B28" s="31">
        <v>371</v>
      </c>
      <c r="C28" s="30">
        <v>1000</v>
      </c>
      <c r="D28" s="31">
        <v>400</v>
      </c>
      <c r="E28" s="31">
        <v>19</v>
      </c>
      <c r="F28" s="31">
        <v>36.1</v>
      </c>
      <c r="G28" s="31">
        <v>30</v>
      </c>
      <c r="H28" s="30">
        <v>47280</v>
      </c>
      <c r="I28" s="30">
        <v>928</v>
      </c>
      <c r="J28" s="31">
        <v>868</v>
      </c>
      <c r="K28" s="32" t="s">
        <v>110</v>
      </c>
      <c r="L28" s="31">
        <v>136</v>
      </c>
      <c r="M28" s="31">
        <v>294</v>
      </c>
      <c r="N28" s="30">
        <v>3.51</v>
      </c>
      <c r="O28" s="31">
        <v>9.4580000000000002</v>
      </c>
      <c r="P28" s="30">
        <v>8137000000</v>
      </c>
      <c r="Q28" s="31">
        <v>16270000</v>
      </c>
      <c r="R28" s="31">
        <v>18360000</v>
      </c>
      <c r="S28" s="70">
        <v>414.90000000000003</v>
      </c>
      <c r="T28" s="84">
        <v>21250</v>
      </c>
      <c r="U28" s="30">
        <v>385800000</v>
      </c>
      <c r="V28" s="31">
        <v>1929000</v>
      </c>
      <c r="W28" s="31">
        <v>2984000</v>
      </c>
      <c r="X28" s="31">
        <v>90.3</v>
      </c>
      <c r="Y28" s="30">
        <v>126.3</v>
      </c>
      <c r="Z28" s="31">
        <v>15750000</v>
      </c>
      <c r="AA28" s="31">
        <v>89440000000000</v>
      </c>
      <c r="AB28" s="30">
        <v>1</v>
      </c>
      <c r="AC28" s="70">
        <v>1</v>
      </c>
      <c r="AD28" s="31">
        <v>1</v>
      </c>
      <c r="AE28" s="30">
        <v>4</v>
      </c>
      <c r="AF28" s="31">
        <v>4</v>
      </c>
      <c r="AG28" s="31">
        <v>4</v>
      </c>
    </row>
    <row r="29" spans="1:33" x14ac:dyDescent="0.45">
      <c r="A29" s="40" t="s">
        <v>300</v>
      </c>
      <c r="B29" s="36">
        <v>412</v>
      </c>
      <c r="C29" s="35">
        <v>1008</v>
      </c>
      <c r="D29" s="36">
        <v>402</v>
      </c>
      <c r="E29" s="36">
        <v>21.1</v>
      </c>
      <c r="F29" s="36">
        <v>40</v>
      </c>
      <c r="G29" s="36">
        <v>30</v>
      </c>
      <c r="H29" s="35">
        <v>52510</v>
      </c>
      <c r="I29" s="35">
        <v>928</v>
      </c>
      <c r="J29" s="36">
        <v>868</v>
      </c>
      <c r="K29" s="37" t="s">
        <v>108</v>
      </c>
      <c r="L29" s="36">
        <v>140</v>
      </c>
      <c r="M29" s="36">
        <v>296</v>
      </c>
      <c r="N29" s="35">
        <v>3.53</v>
      </c>
      <c r="O29" s="36">
        <v>8.5640000000000001</v>
      </c>
      <c r="P29" s="35">
        <v>9105000000</v>
      </c>
      <c r="Q29" s="36">
        <v>18070000</v>
      </c>
      <c r="R29" s="36">
        <v>20460000</v>
      </c>
      <c r="S29" s="72">
        <v>416.4</v>
      </c>
      <c r="T29" s="86">
        <v>23600</v>
      </c>
      <c r="U29" s="35">
        <v>434000000</v>
      </c>
      <c r="V29" s="36">
        <v>2160000</v>
      </c>
      <c r="W29" s="36">
        <v>3349000</v>
      </c>
      <c r="X29" s="36">
        <v>90.9</v>
      </c>
      <c r="Y29" s="35">
        <v>136.19999999999999</v>
      </c>
      <c r="Z29" s="36">
        <v>21340000</v>
      </c>
      <c r="AA29" s="36">
        <v>101500000000000</v>
      </c>
      <c r="AB29" s="35">
        <v>1</v>
      </c>
      <c r="AC29" s="72">
        <v>1</v>
      </c>
      <c r="AD29" s="36">
        <v>1</v>
      </c>
      <c r="AE29" s="35">
        <v>3</v>
      </c>
      <c r="AF29" s="36">
        <v>4</v>
      </c>
      <c r="AG29" s="36">
        <v>4</v>
      </c>
    </row>
    <row r="30" spans="1:33" x14ac:dyDescent="0.45">
      <c r="A30" s="43" t="s">
        <v>301</v>
      </c>
      <c r="B30" s="31">
        <v>443</v>
      </c>
      <c r="C30" s="30">
        <v>1012</v>
      </c>
      <c r="D30" s="31">
        <v>402</v>
      </c>
      <c r="E30" s="31">
        <v>23.6</v>
      </c>
      <c r="F30" s="31">
        <v>41.9</v>
      </c>
      <c r="G30" s="31">
        <v>30</v>
      </c>
      <c r="H30" s="30">
        <v>56370.000000000007</v>
      </c>
      <c r="I30" s="30">
        <v>928.2</v>
      </c>
      <c r="J30" s="31">
        <v>868.2</v>
      </c>
      <c r="K30" s="32" t="s">
        <v>110</v>
      </c>
      <c r="L30" s="31">
        <v>142</v>
      </c>
      <c r="M30" s="31">
        <v>296</v>
      </c>
      <c r="N30" s="30">
        <v>3.5329999999999999</v>
      </c>
      <c r="O30" s="31">
        <v>7.9850000000000003</v>
      </c>
      <c r="P30" s="30">
        <v>9665000000</v>
      </c>
      <c r="Q30" s="31">
        <v>19100000</v>
      </c>
      <c r="R30" s="31">
        <v>21780000</v>
      </c>
      <c r="S30" s="70">
        <v>414.09999999999997</v>
      </c>
      <c r="T30" s="84">
        <v>26180</v>
      </c>
      <c r="U30" s="30">
        <v>455000000</v>
      </c>
      <c r="V30" s="31">
        <v>2264000</v>
      </c>
      <c r="W30" s="31">
        <v>3529000</v>
      </c>
      <c r="X30" s="31">
        <v>89.800000000000011</v>
      </c>
      <c r="Y30" s="30">
        <v>142.5</v>
      </c>
      <c r="Z30" s="31">
        <v>25450000</v>
      </c>
      <c r="AA30" s="31">
        <v>106700000000000</v>
      </c>
      <c r="AB30" s="30">
        <v>1</v>
      </c>
      <c r="AC30" s="70">
        <v>1</v>
      </c>
      <c r="AD30" s="31">
        <v>1</v>
      </c>
      <c r="AE30" s="30">
        <v>2</v>
      </c>
      <c r="AF30" s="31">
        <v>4</v>
      </c>
      <c r="AG30" s="31">
        <v>4</v>
      </c>
    </row>
    <row r="31" spans="1:33" x14ac:dyDescent="0.45">
      <c r="A31" s="40" t="s">
        <v>302</v>
      </c>
      <c r="B31" s="36">
        <v>483</v>
      </c>
      <c r="C31" s="35">
        <v>1020</v>
      </c>
      <c r="D31" s="36">
        <v>404</v>
      </c>
      <c r="E31" s="36">
        <v>25.4</v>
      </c>
      <c r="F31" s="36">
        <v>46</v>
      </c>
      <c r="G31" s="36">
        <v>30</v>
      </c>
      <c r="H31" s="35">
        <v>61510</v>
      </c>
      <c r="I31" s="35">
        <v>928</v>
      </c>
      <c r="J31" s="36">
        <v>868</v>
      </c>
      <c r="K31" s="37" t="s">
        <v>108</v>
      </c>
      <c r="L31" s="36">
        <v>144</v>
      </c>
      <c r="M31" s="36">
        <v>298</v>
      </c>
      <c r="N31" s="35">
        <v>3.5539999999999998</v>
      </c>
      <c r="O31" s="36">
        <v>7.36</v>
      </c>
      <c r="P31" s="35">
        <v>10670000000</v>
      </c>
      <c r="Q31" s="36">
        <v>20930000</v>
      </c>
      <c r="R31" s="36">
        <v>23920000</v>
      </c>
      <c r="S31" s="72">
        <v>416.59999999999997</v>
      </c>
      <c r="T31" s="86">
        <v>28270</v>
      </c>
      <c r="U31" s="35">
        <v>507100000</v>
      </c>
      <c r="V31" s="36">
        <v>2510000</v>
      </c>
      <c r="W31" s="36">
        <v>3919000</v>
      </c>
      <c r="X31" s="36">
        <v>90.8</v>
      </c>
      <c r="Y31" s="35">
        <v>152.5</v>
      </c>
      <c r="Z31" s="36">
        <v>33110000</v>
      </c>
      <c r="AA31" s="36">
        <v>119900000000000</v>
      </c>
      <c r="AB31" s="35">
        <v>1</v>
      </c>
      <c r="AC31" s="72">
        <v>1</v>
      </c>
      <c r="AD31" s="36">
        <v>1</v>
      </c>
      <c r="AE31" s="35">
        <v>2</v>
      </c>
      <c r="AF31" s="36">
        <v>4</v>
      </c>
      <c r="AG31" s="36">
        <v>4</v>
      </c>
    </row>
    <row r="32" spans="1:33" x14ac:dyDescent="0.45">
      <c r="A32" s="44" t="s">
        <v>303</v>
      </c>
      <c r="B32" s="42">
        <v>539</v>
      </c>
      <c r="C32" s="41">
        <v>1030</v>
      </c>
      <c r="D32" s="42">
        <v>407</v>
      </c>
      <c r="E32" s="42">
        <v>28.4</v>
      </c>
      <c r="F32" s="42">
        <v>51.1</v>
      </c>
      <c r="G32" s="42">
        <v>30</v>
      </c>
      <c r="H32" s="41">
        <v>68720</v>
      </c>
      <c r="I32" s="41">
        <v>927.8</v>
      </c>
      <c r="J32" s="42">
        <v>867.8</v>
      </c>
      <c r="K32" s="45" t="s">
        <v>110</v>
      </c>
      <c r="L32" s="42">
        <v>146</v>
      </c>
      <c r="M32" s="42">
        <v>302</v>
      </c>
      <c r="N32" s="41">
        <v>3.58</v>
      </c>
      <c r="O32" s="42">
        <v>6.6360000000000001</v>
      </c>
      <c r="P32" s="41">
        <v>12030000000</v>
      </c>
      <c r="Q32" s="42">
        <v>23350000</v>
      </c>
      <c r="R32" s="42">
        <v>26820000</v>
      </c>
      <c r="S32" s="89">
        <v>418.29999999999995</v>
      </c>
      <c r="T32" s="90">
        <v>31639.999999999996</v>
      </c>
      <c r="U32" s="41">
        <v>576300000</v>
      </c>
      <c r="V32" s="42">
        <v>2832000</v>
      </c>
      <c r="W32" s="42">
        <v>4436000</v>
      </c>
      <c r="X32" s="42">
        <v>91.6</v>
      </c>
      <c r="Y32" s="41">
        <v>165.7</v>
      </c>
      <c r="Z32" s="42">
        <v>45460000</v>
      </c>
      <c r="AA32" s="42">
        <v>137600000000000</v>
      </c>
      <c r="AB32" s="41">
        <v>1</v>
      </c>
      <c r="AC32" s="89">
        <v>1</v>
      </c>
      <c r="AD32" s="42">
        <v>1</v>
      </c>
      <c r="AE32" s="41">
        <v>1</v>
      </c>
      <c r="AF32" s="42">
        <v>2</v>
      </c>
      <c r="AG32" s="42">
        <v>4</v>
      </c>
    </row>
    <row r="33" spans="1:33" x14ac:dyDescent="0.45">
      <c r="A33" s="29" t="s">
        <v>304</v>
      </c>
      <c r="B33" s="27">
        <v>554</v>
      </c>
      <c r="C33" s="26">
        <v>1032</v>
      </c>
      <c r="D33" s="27">
        <v>408</v>
      </c>
      <c r="E33" s="27">
        <v>29.5</v>
      </c>
      <c r="F33" s="27">
        <v>52</v>
      </c>
      <c r="G33" s="27">
        <v>30</v>
      </c>
      <c r="H33" s="26">
        <v>70580</v>
      </c>
      <c r="I33" s="26">
        <v>928</v>
      </c>
      <c r="J33" s="27">
        <v>868</v>
      </c>
      <c r="K33" s="28" t="s">
        <v>108</v>
      </c>
      <c r="L33" s="27">
        <v>150</v>
      </c>
      <c r="M33" s="27">
        <v>296</v>
      </c>
      <c r="N33" s="26">
        <v>3.585</v>
      </c>
      <c r="O33" s="27">
        <v>6.4710000000000001</v>
      </c>
      <c r="P33" s="26">
        <v>12320000000</v>
      </c>
      <c r="Q33" s="27">
        <v>23880000</v>
      </c>
      <c r="R33" s="27">
        <v>27500000</v>
      </c>
      <c r="S33" s="68">
        <v>417.9</v>
      </c>
      <c r="T33" s="82">
        <v>32800</v>
      </c>
      <c r="U33" s="26">
        <v>591000000</v>
      </c>
      <c r="V33" s="27">
        <v>2897000</v>
      </c>
      <c r="W33" s="27">
        <v>4547000</v>
      </c>
      <c r="X33" s="27">
        <v>91.5</v>
      </c>
      <c r="Y33" s="26">
        <v>168.6</v>
      </c>
      <c r="Z33" s="27">
        <v>48600000</v>
      </c>
      <c r="AA33" s="27">
        <v>141300000000000</v>
      </c>
      <c r="AB33" s="26">
        <v>1</v>
      </c>
      <c r="AC33" s="68">
        <v>1</v>
      </c>
      <c r="AD33" s="27">
        <v>1</v>
      </c>
      <c r="AE33" s="26">
        <v>1</v>
      </c>
      <c r="AF33" s="27">
        <v>2</v>
      </c>
      <c r="AG33" s="27">
        <v>3</v>
      </c>
    </row>
    <row r="34" spans="1:33" x14ac:dyDescent="0.45">
      <c r="A34" s="43" t="s">
        <v>305</v>
      </c>
      <c r="B34" s="31">
        <v>591</v>
      </c>
      <c r="C34" s="30">
        <v>1040</v>
      </c>
      <c r="D34" s="31">
        <v>409</v>
      </c>
      <c r="E34" s="31">
        <v>31</v>
      </c>
      <c r="F34" s="31">
        <v>55.9</v>
      </c>
      <c r="G34" s="31">
        <v>30</v>
      </c>
      <c r="H34" s="30">
        <v>75270</v>
      </c>
      <c r="I34" s="30">
        <v>928.2</v>
      </c>
      <c r="J34" s="31">
        <v>868.2</v>
      </c>
      <c r="K34" s="32" t="s">
        <v>110</v>
      </c>
      <c r="L34" s="31">
        <v>148</v>
      </c>
      <c r="M34" s="31">
        <v>304</v>
      </c>
      <c r="N34" s="30">
        <v>3.6019999999999999</v>
      </c>
      <c r="O34" s="31">
        <v>6.0970000000000004</v>
      </c>
      <c r="P34" s="30">
        <v>13310000000</v>
      </c>
      <c r="Q34" s="31">
        <v>25600000</v>
      </c>
      <c r="R34" s="31">
        <v>29530000</v>
      </c>
      <c r="S34" s="70">
        <v>420.5</v>
      </c>
      <c r="T34" s="84">
        <v>34630</v>
      </c>
      <c r="U34" s="30">
        <v>640100000</v>
      </c>
      <c r="V34" s="31">
        <v>3130000</v>
      </c>
      <c r="W34" s="31">
        <v>4916000</v>
      </c>
      <c r="X34" s="31">
        <v>92.2</v>
      </c>
      <c r="Y34" s="30">
        <v>177.9</v>
      </c>
      <c r="Z34" s="31">
        <v>59270000</v>
      </c>
      <c r="AA34" s="31">
        <v>154300000000000</v>
      </c>
      <c r="AB34" s="30">
        <v>1</v>
      </c>
      <c r="AC34" s="70">
        <v>1</v>
      </c>
      <c r="AD34" s="31">
        <v>1</v>
      </c>
      <c r="AE34" s="30">
        <v>1</v>
      </c>
      <c r="AF34" s="31">
        <v>2</v>
      </c>
      <c r="AG34" s="31">
        <v>3</v>
      </c>
    </row>
    <row r="35" spans="1:33" x14ac:dyDescent="0.45">
      <c r="A35" s="40" t="s">
        <v>306</v>
      </c>
      <c r="B35" s="36">
        <v>642</v>
      </c>
      <c r="C35" s="35">
        <v>1048</v>
      </c>
      <c r="D35" s="36">
        <v>412</v>
      </c>
      <c r="E35" s="36">
        <v>34</v>
      </c>
      <c r="F35" s="36">
        <v>60</v>
      </c>
      <c r="G35" s="36">
        <v>30</v>
      </c>
      <c r="H35" s="35">
        <v>81760</v>
      </c>
      <c r="I35" s="35">
        <v>928</v>
      </c>
      <c r="J35" s="36">
        <v>868</v>
      </c>
      <c r="K35" s="37" t="s">
        <v>108</v>
      </c>
      <c r="L35" s="36">
        <v>154</v>
      </c>
      <c r="M35" s="36">
        <v>300</v>
      </c>
      <c r="N35" s="35">
        <v>3.6240000000000001</v>
      </c>
      <c r="O35" s="36">
        <v>5.6470000000000002</v>
      </c>
      <c r="P35" s="35">
        <v>14510000000</v>
      </c>
      <c r="Q35" s="36">
        <v>27680000</v>
      </c>
      <c r="R35" s="36">
        <v>32100000</v>
      </c>
      <c r="S35" s="72">
        <v>421.2</v>
      </c>
      <c r="T35" s="86">
        <v>37960</v>
      </c>
      <c r="U35" s="35">
        <v>702800000</v>
      </c>
      <c r="V35" s="36">
        <v>3412000</v>
      </c>
      <c r="W35" s="36">
        <v>5379000</v>
      </c>
      <c r="X35" s="36">
        <v>92.699999999999989</v>
      </c>
      <c r="Y35" s="35">
        <v>189.1</v>
      </c>
      <c r="Z35" s="36">
        <v>74400000</v>
      </c>
      <c r="AA35" s="36">
        <v>170700000000000</v>
      </c>
      <c r="AB35" s="35">
        <v>1</v>
      </c>
      <c r="AC35" s="72">
        <v>1</v>
      </c>
      <c r="AD35" s="36">
        <v>1</v>
      </c>
      <c r="AE35" s="35">
        <v>1</v>
      </c>
      <c r="AF35" s="36">
        <v>1</v>
      </c>
      <c r="AG35" s="36">
        <v>2</v>
      </c>
    </row>
    <row r="36" spans="1:33" x14ac:dyDescent="0.45">
      <c r="A36" s="43" t="s">
        <v>307</v>
      </c>
      <c r="B36" s="31">
        <v>748</v>
      </c>
      <c r="C36" s="30">
        <v>1068</v>
      </c>
      <c r="D36" s="31">
        <v>417</v>
      </c>
      <c r="E36" s="31">
        <v>39</v>
      </c>
      <c r="F36" s="31">
        <v>70</v>
      </c>
      <c r="G36" s="31">
        <v>30</v>
      </c>
      <c r="H36" s="30">
        <v>95340</v>
      </c>
      <c r="I36" s="30">
        <v>928</v>
      </c>
      <c r="J36" s="31">
        <v>868</v>
      </c>
      <c r="K36" s="32" t="s">
        <v>110</v>
      </c>
      <c r="L36" s="31">
        <v>160</v>
      </c>
      <c r="M36" s="31">
        <v>304</v>
      </c>
      <c r="N36" s="30">
        <v>3.6739999999999999</v>
      </c>
      <c r="O36" s="31">
        <v>4.9089999999999998</v>
      </c>
      <c r="P36" s="30">
        <v>17320000000</v>
      </c>
      <c r="Q36" s="31">
        <v>32430000</v>
      </c>
      <c r="R36" s="31">
        <v>37880000</v>
      </c>
      <c r="S36" s="70">
        <v>426.2</v>
      </c>
      <c r="T36" s="84">
        <v>43890</v>
      </c>
      <c r="U36" s="30">
        <v>851100000</v>
      </c>
      <c r="V36" s="31">
        <v>4082000</v>
      </c>
      <c r="W36" s="31">
        <v>6459000</v>
      </c>
      <c r="X36" s="31">
        <v>94.5</v>
      </c>
      <c r="Y36" s="30">
        <v>214.1</v>
      </c>
      <c r="Z36" s="31">
        <v>116700000</v>
      </c>
      <c r="AA36" s="31">
        <v>210600000000000</v>
      </c>
      <c r="AB36" s="30">
        <v>1</v>
      </c>
      <c r="AC36" s="70">
        <v>1</v>
      </c>
      <c r="AD36" s="31">
        <v>1</v>
      </c>
      <c r="AE36" s="30">
        <v>1</v>
      </c>
      <c r="AF36" s="31">
        <v>1</v>
      </c>
      <c r="AG36" s="31">
        <v>1</v>
      </c>
    </row>
    <row r="37" spans="1:33" x14ac:dyDescent="0.45">
      <c r="A37" s="40" t="s">
        <v>308</v>
      </c>
      <c r="B37" s="36">
        <v>883</v>
      </c>
      <c r="C37" s="35">
        <v>1092</v>
      </c>
      <c r="D37" s="36">
        <v>424</v>
      </c>
      <c r="E37" s="36">
        <v>45.5</v>
      </c>
      <c r="F37" s="36">
        <v>82</v>
      </c>
      <c r="G37" s="36">
        <v>30</v>
      </c>
      <c r="H37" s="35">
        <v>112500</v>
      </c>
      <c r="I37" s="35">
        <v>928</v>
      </c>
      <c r="J37" s="36">
        <v>868</v>
      </c>
      <c r="K37" s="37" t="s">
        <v>108</v>
      </c>
      <c r="L37" s="36">
        <v>166</v>
      </c>
      <c r="M37" s="36">
        <v>312</v>
      </c>
      <c r="N37" s="35">
        <v>3.7370000000000001</v>
      </c>
      <c r="O37" s="36">
        <v>4.2309999999999999</v>
      </c>
      <c r="P37" s="35">
        <v>20960000000</v>
      </c>
      <c r="Q37" s="36">
        <v>38390000</v>
      </c>
      <c r="R37" s="36">
        <v>45260000</v>
      </c>
      <c r="S37" s="72">
        <v>431.59999999999997</v>
      </c>
      <c r="T37" s="86">
        <v>51650</v>
      </c>
      <c r="U37" s="35">
        <v>1050000000</v>
      </c>
      <c r="V37" s="36">
        <v>4952000</v>
      </c>
      <c r="W37" s="36">
        <v>7874000</v>
      </c>
      <c r="X37" s="36">
        <v>96.6</v>
      </c>
      <c r="Y37" s="35">
        <v>244.6</v>
      </c>
      <c r="Z37" s="36">
        <v>187500000</v>
      </c>
      <c r="AA37" s="36">
        <v>265700000000000</v>
      </c>
      <c r="AB37" s="35">
        <v>1</v>
      </c>
      <c r="AC37" s="72">
        <v>1</v>
      </c>
      <c r="AD37" s="37" t="s">
        <v>34</v>
      </c>
      <c r="AE37" s="35">
        <v>1</v>
      </c>
      <c r="AF37" s="36">
        <v>1</v>
      </c>
      <c r="AG37" s="37" t="s">
        <v>34</v>
      </c>
    </row>
    <row r="38" spans="1:33" x14ac:dyDescent="0.45">
      <c r="A38" s="40" t="s">
        <v>309</v>
      </c>
      <c r="B38" s="36">
        <v>343</v>
      </c>
      <c r="C38" s="35">
        <v>1090</v>
      </c>
      <c r="D38" s="36">
        <v>400</v>
      </c>
      <c r="E38" s="36">
        <v>18</v>
      </c>
      <c r="F38" s="36">
        <v>31</v>
      </c>
      <c r="G38" s="36">
        <v>20</v>
      </c>
      <c r="H38" s="35">
        <v>43650</v>
      </c>
      <c r="I38" s="35">
        <v>1028</v>
      </c>
      <c r="J38" s="36">
        <v>988</v>
      </c>
      <c r="K38" s="37" t="s">
        <v>108</v>
      </c>
      <c r="L38" s="36">
        <v>116</v>
      </c>
      <c r="M38" s="36">
        <v>294</v>
      </c>
      <c r="N38" s="35">
        <v>3.71</v>
      </c>
      <c r="O38" s="36">
        <v>10.83</v>
      </c>
      <c r="P38" s="35">
        <v>8674000000</v>
      </c>
      <c r="Q38" s="36">
        <v>15920000</v>
      </c>
      <c r="R38" s="36">
        <v>18060000</v>
      </c>
      <c r="S38" s="72">
        <v>445.79999999999995</v>
      </c>
      <c r="T38" s="86">
        <v>20650</v>
      </c>
      <c r="U38" s="35">
        <v>331200000</v>
      </c>
      <c r="V38" s="36">
        <v>1656000</v>
      </c>
      <c r="W38" s="36">
        <v>2568000</v>
      </c>
      <c r="X38" s="36">
        <v>87.100000000000009</v>
      </c>
      <c r="Y38" s="35">
        <v>103.4</v>
      </c>
      <c r="Z38" s="36">
        <v>10370000</v>
      </c>
      <c r="AA38" s="36">
        <v>92710000000000</v>
      </c>
      <c r="AB38" s="35">
        <v>1</v>
      </c>
      <c r="AC38" s="72">
        <v>1</v>
      </c>
      <c r="AD38" s="36">
        <v>2</v>
      </c>
      <c r="AE38" s="35">
        <v>4</v>
      </c>
      <c r="AF38" s="36">
        <v>4</v>
      </c>
      <c r="AG38" s="36">
        <v>4</v>
      </c>
    </row>
    <row r="39" spans="1:33" x14ac:dyDescent="0.45">
      <c r="A39" s="43" t="s">
        <v>310</v>
      </c>
      <c r="B39" s="31">
        <v>390</v>
      </c>
      <c r="C39" s="30">
        <v>1100</v>
      </c>
      <c r="D39" s="31">
        <v>400</v>
      </c>
      <c r="E39" s="31">
        <v>20</v>
      </c>
      <c r="F39" s="31">
        <v>36</v>
      </c>
      <c r="G39" s="31">
        <v>20</v>
      </c>
      <c r="H39" s="30">
        <v>49700</v>
      </c>
      <c r="I39" s="30">
        <v>1028</v>
      </c>
      <c r="J39" s="31">
        <v>988</v>
      </c>
      <c r="K39" s="32" t="s">
        <v>110</v>
      </c>
      <c r="L39" s="31">
        <v>118</v>
      </c>
      <c r="M39" s="31">
        <v>294</v>
      </c>
      <c r="N39" s="30">
        <v>3.726</v>
      </c>
      <c r="O39" s="31">
        <v>9.5489999999999995</v>
      </c>
      <c r="P39" s="30">
        <v>10050000000</v>
      </c>
      <c r="Q39" s="31">
        <v>18280000</v>
      </c>
      <c r="R39" s="31">
        <v>20780000</v>
      </c>
      <c r="S39" s="70">
        <v>449.79999999999995</v>
      </c>
      <c r="T39" s="84">
        <v>23060</v>
      </c>
      <c r="U39" s="30">
        <v>384800000</v>
      </c>
      <c r="V39" s="31">
        <v>1924000</v>
      </c>
      <c r="W39" s="31">
        <v>2988000</v>
      </c>
      <c r="X39" s="31">
        <v>88</v>
      </c>
      <c r="Y39" s="30">
        <v>115.4</v>
      </c>
      <c r="Z39" s="31">
        <v>15640000</v>
      </c>
      <c r="AA39" s="31">
        <v>108700000000000</v>
      </c>
      <c r="AB39" s="30">
        <v>1</v>
      </c>
      <c r="AC39" s="70">
        <v>1</v>
      </c>
      <c r="AD39" s="31">
        <v>1</v>
      </c>
      <c r="AE39" s="30">
        <v>4</v>
      </c>
      <c r="AF39" s="31">
        <v>4</v>
      </c>
      <c r="AG39" s="31">
        <v>4</v>
      </c>
    </row>
    <row r="40" spans="1:33" x14ac:dyDescent="0.45">
      <c r="A40" s="40" t="s">
        <v>311</v>
      </c>
      <c r="B40" s="36">
        <v>433</v>
      </c>
      <c r="C40" s="35">
        <v>1108</v>
      </c>
      <c r="D40" s="36">
        <v>402</v>
      </c>
      <c r="E40" s="36">
        <v>22</v>
      </c>
      <c r="F40" s="36">
        <v>40</v>
      </c>
      <c r="G40" s="36">
        <v>20</v>
      </c>
      <c r="H40" s="35">
        <v>55120.000000000007</v>
      </c>
      <c r="I40" s="35">
        <v>1028</v>
      </c>
      <c r="J40" s="36">
        <v>988</v>
      </c>
      <c r="K40" s="37" t="s">
        <v>108</v>
      </c>
      <c r="L40" s="36">
        <v>120</v>
      </c>
      <c r="M40" s="36">
        <v>296</v>
      </c>
      <c r="N40" s="35">
        <v>3.746</v>
      </c>
      <c r="O40" s="36">
        <v>8.657</v>
      </c>
      <c r="P40" s="35">
        <v>11260000000</v>
      </c>
      <c r="Q40" s="36">
        <v>20320000</v>
      </c>
      <c r="R40" s="36">
        <v>23160000</v>
      </c>
      <c r="S40" s="72">
        <v>451.9</v>
      </c>
      <c r="T40" s="86">
        <v>25440</v>
      </c>
      <c r="U40" s="35">
        <v>434100000</v>
      </c>
      <c r="V40" s="36">
        <v>2160000</v>
      </c>
      <c r="W40" s="36">
        <v>3362000</v>
      </c>
      <c r="X40" s="36">
        <v>88.699999999999989</v>
      </c>
      <c r="Y40" s="35">
        <v>125.4</v>
      </c>
      <c r="Z40" s="36">
        <v>21300000</v>
      </c>
      <c r="AA40" s="36">
        <v>123500000000000</v>
      </c>
      <c r="AB40" s="35">
        <v>1</v>
      </c>
      <c r="AC40" s="72">
        <v>1</v>
      </c>
      <c r="AD40" s="36">
        <v>1</v>
      </c>
      <c r="AE40" s="35">
        <v>4</v>
      </c>
      <c r="AF40" s="36">
        <v>4</v>
      </c>
      <c r="AG40" s="36">
        <v>4</v>
      </c>
    </row>
    <row r="41" spans="1:33" x14ac:dyDescent="0.45">
      <c r="A41" s="44" t="s">
        <v>312</v>
      </c>
      <c r="B41" s="42">
        <v>499</v>
      </c>
      <c r="C41" s="41">
        <v>1118</v>
      </c>
      <c r="D41" s="42">
        <v>405</v>
      </c>
      <c r="E41" s="42">
        <v>26</v>
      </c>
      <c r="F41" s="42">
        <v>45</v>
      </c>
      <c r="G41" s="42">
        <v>20</v>
      </c>
      <c r="H41" s="41">
        <v>63520.000000000007</v>
      </c>
      <c r="I41" s="41">
        <v>1028</v>
      </c>
      <c r="J41" s="42">
        <v>988</v>
      </c>
      <c r="K41" s="45" t="s">
        <v>110</v>
      </c>
      <c r="L41" s="42">
        <v>124</v>
      </c>
      <c r="M41" s="42">
        <v>300</v>
      </c>
      <c r="N41" s="41">
        <v>3.77</v>
      </c>
      <c r="O41" s="42">
        <v>7.56</v>
      </c>
      <c r="P41" s="41">
        <v>12940000000</v>
      </c>
      <c r="Q41" s="42">
        <v>23150000</v>
      </c>
      <c r="R41" s="42">
        <v>26600000</v>
      </c>
      <c r="S41" s="89">
        <v>451.4</v>
      </c>
      <c r="T41" s="90">
        <v>30039.999999999996</v>
      </c>
      <c r="U41" s="41">
        <v>499800000</v>
      </c>
      <c r="V41" s="42">
        <v>2468000</v>
      </c>
      <c r="W41" s="42">
        <v>3870000</v>
      </c>
      <c r="X41" s="42">
        <v>88.699999999999989</v>
      </c>
      <c r="Y41" s="41">
        <v>139.4</v>
      </c>
      <c r="Z41" s="42">
        <v>31350000</v>
      </c>
      <c r="AA41" s="42">
        <v>143400000000000</v>
      </c>
      <c r="AB41" s="41">
        <v>1</v>
      </c>
      <c r="AC41" s="89">
        <v>1</v>
      </c>
      <c r="AD41" s="42">
        <v>1</v>
      </c>
      <c r="AE41" s="41">
        <v>2</v>
      </c>
      <c r="AF41" s="42">
        <v>4</v>
      </c>
      <c r="AG41" s="4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AG33"/>
  <sheetViews>
    <sheetView topLeftCell="W1" zoomScale="85" zoomScaleNormal="85" workbookViewId="0">
      <selection activeCell="AB2" sqref="AB2:AG2"/>
    </sheetView>
  </sheetViews>
  <sheetFormatPr baseColWidth="10" defaultColWidth="11.3984375" defaultRowHeight="14.25" x14ac:dyDescent="0.45"/>
  <cols>
    <col min="1" max="1" width="23.796875" style="47" customWidth="1"/>
    <col min="2" max="4" width="9.59765625" style="47" bestFit="1" customWidth="1"/>
    <col min="5" max="7" width="8.59765625" style="47" bestFit="1" customWidth="1"/>
    <col min="8" max="8" width="12.1328125" style="47" bestFit="1" customWidth="1"/>
    <col min="9" max="10" width="9.59765625" style="47" bestFit="1" customWidth="1"/>
    <col min="11" max="11" width="3.86328125" style="47" bestFit="1" customWidth="1"/>
    <col min="12" max="13" width="9.59765625" style="47" bestFit="1" customWidth="1"/>
    <col min="14" max="14" width="9.1328125" style="47" bestFit="1" customWidth="1"/>
    <col min="15" max="15" width="8.59765625" style="47" bestFit="1" customWidth="1"/>
    <col min="16" max="16" width="16.73046875" style="47" bestFit="1" customWidth="1"/>
    <col min="17" max="18" width="14.59765625" style="47" bestFit="1" customWidth="1"/>
    <col min="19" max="19" width="9.59765625" style="47" bestFit="1" customWidth="1"/>
    <col min="20" max="20" width="12.1328125" style="47" bestFit="1" customWidth="1"/>
    <col min="21" max="21" width="16.73046875" style="47" bestFit="1" customWidth="1"/>
    <col min="22" max="23" width="14.59765625" style="47" bestFit="1" customWidth="1"/>
    <col min="24" max="24" width="8.59765625" style="47" bestFit="1" customWidth="1"/>
    <col min="25" max="25" width="9.59765625" style="47" bestFit="1" customWidth="1"/>
    <col min="26" max="26" width="14.59765625" style="47" bestFit="1" customWidth="1"/>
    <col min="27" max="27" width="22" style="47" bestFit="1" customWidth="1"/>
    <col min="28" max="33" width="9.59765625" style="47" bestFit="1" customWidth="1"/>
    <col min="34" max="16384" width="11.3984375" style="47"/>
  </cols>
  <sheetData>
    <row r="1" spans="1:33" s="93" customFormat="1" ht="15.75" x14ac:dyDescent="0.45">
      <c r="A1" s="25" t="s">
        <v>1</v>
      </c>
      <c r="B1" s="25" t="s">
        <v>2</v>
      </c>
      <c r="C1" s="25" t="s">
        <v>3</v>
      </c>
      <c r="D1" s="25" t="s">
        <v>4</v>
      </c>
      <c r="E1" s="25" t="s">
        <v>116</v>
      </c>
      <c r="F1" s="25" t="s">
        <v>6</v>
      </c>
      <c r="G1" s="25" t="s">
        <v>7</v>
      </c>
      <c r="H1" s="25" t="s">
        <v>8</v>
      </c>
      <c r="I1" s="25" t="s">
        <v>9</v>
      </c>
      <c r="J1" s="25" t="s">
        <v>10</v>
      </c>
      <c r="K1" s="25" t="s">
        <v>117</v>
      </c>
      <c r="L1" s="25" t="s">
        <v>118</v>
      </c>
      <c r="M1" s="25" t="s">
        <v>119</v>
      </c>
      <c r="N1" s="25" t="s">
        <v>14</v>
      </c>
      <c r="O1" s="25" t="s">
        <v>15</v>
      </c>
      <c r="P1" s="25" t="s">
        <v>16</v>
      </c>
      <c r="Q1" s="25" t="s">
        <v>17</v>
      </c>
      <c r="R1" s="25" t="s">
        <v>18</v>
      </c>
      <c r="S1" s="25" t="s">
        <v>19</v>
      </c>
      <c r="T1" s="25" t="s">
        <v>20</v>
      </c>
      <c r="U1" s="25" t="s">
        <v>21</v>
      </c>
      <c r="V1" s="25" t="s">
        <v>22</v>
      </c>
      <c r="W1" s="25" t="s">
        <v>23</v>
      </c>
      <c r="X1" s="25" t="s">
        <v>24</v>
      </c>
      <c r="Y1" s="25" t="s">
        <v>120</v>
      </c>
      <c r="Z1" s="25" t="s">
        <v>26</v>
      </c>
      <c r="AA1" s="25" t="s">
        <v>27</v>
      </c>
      <c r="AB1" s="49" t="s">
        <v>28</v>
      </c>
      <c r="AC1" s="49" t="s">
        <v>29</v>
      </c>
      <c r="AD1" s="49" t="s">
        <v>30</v>
      </c>
      <c r="AE1" s="49" t="s">
        <v>28</v>
      </c>
      <c r="AF1" s="49" t="s">
        <v>29</v>
      </c>
      <c r="AG1" s="49" t="s">
        <v>30</v>
      </c>
    </row>
    <row r="2" spans="1:33" s="93" customFormat="1" ht="32.25" x14ac:dyDescent="0.45">
      <c r="A2" s="25" t="s">
        <v>731</v>
      </c>
      <c r="B2" s="25" t="s">
        <v>31</v>
      </c>
      <c r="C2" s="25" t="s">
        <v>32</v>
      </c>
      <c r="D2" s="25" t="s">
        <v>32</v>
      </c>
      <c r="E2" s="25" t="s">
        <v>32</v>
      </c>
      <c r="F2" s="25" t="s">
        <v>32</v>
      </c>
      <c r="G2" s="25" t="s">
        <v>32</v>
      </c>
      <c r="H2" s="25" t="s">
        <v>33</v>
      </c>
      <c r="I2" s="25" t="s">
        <v>32</v>
      </c>
      <c r="J2" s="25" t="s">
        <v>32</v>
      </c>
      <c r="K2" s="25" t="s">
        <v>34</v>
      </c>
      <c r="L2" s="25" t="s">
        <v>32</v>
      </c>
      <c r="M2" s="25" t="s">
        <v>32</v>
      </c>
      <c r="N2" s="25" t="s">
        <v>35</v>
      </c>
      <c r="O2" s="25" t="s">
        <v>36</v>
      </c>
      <c r="P2" s="25" t="s">
        <v>37</v>
      </c>
      <c r="Q2" s="25" t="s">
        <v>38</v>
      </c>
      <c r="R2" s="25" t="s">
        <v>38</v>
      </c>
      <c r="S2" s="25" t="s">
        <v>32</v>
      </c>
      <c r="T2" s="25" t="s">
        <v>33</v>
      </c>
      <c r="U2" s="25" t="s">
        <v>37</v>
      </c>
      <c r="V2" s="25" t="s">
        <v>38</v>
      </c>
      <c r="W2" s="25" t="s">
        <v>38</v>
      </c>
      <c r="X2" s="25" t="s">
        <v>32</v>
      </c>
      <c r="Y2" s="25" t="s">
        <v>32</v>
      </c>
      <c r="Z2" s="25" t="s">
        <v>37</v>
      </c>
      <c r="AA2" s="25" t="s">
        <v>39</v>
      </c>
      <c r="AB2" s="50" t="s">
        <v>732</v>
      </c>
      <c r="AC2" s="50" t="s">
        <v>732</v>
      </c>
      <c r="AD2" s="50" t="s">
        <v>732</v>
      </c>
      <c r="AE2" s="50" t="s">
        <v>733</v>
      </c>
      <c r="AF2" s="50" t="s">
        <v>733</v>
      </c>
      <c r="AG2" s="50" t="s">
        <v>733</v>
      </c>
    </row>
    <row r="3" spans="1:33" ht="28.5" x14ac:dyDescent="0.45">
      <c r="A3" s="29" t="s">
        <v>313</v>
      </c>
      <c r="B3" s="27">
        <v>42.5</v>
      </c>
      <c r="C3" s="26">
        <v>200</v>
      </c>
      <c r="D3" s="27">
        <v>205</v>
      </c>
      <c r="E3" s="27">
        <v>9</v>
      </c>
      <c r="F3" s="27">
        <v>9</v>
      </c>
      <c r="G3" s="27">
        <v>10</v>
      </c>
      <c r="H3" s="26">
        <v>5410</v>
      </c>
      <c r="I3" s="26">
        <v>182</v>
      </c>
      <c r="J3" s="27">
        <v>162</v>
      </c>
      <c r="K3" s="28" t="s">
        <v>108</v>
      </c>
      <c r="L3" s="27">
        <v>100</v>
      </c>
      <c r="M3" s="27">
        <v>106</v>
      </c>
      <c r="N3" s="26">
        <v>1.1850000000000001</v>
      </c>
      <c r="O3" s="27">
        <v>27.88</v>
      </c>
      <c r="P3" s="26">
        <v>38880000</v>
      </c>
      <c r="Q3" s="27">
        <v>388800</v>
      </c>
      <c r="R3" s="27">
        <v>434500</v>
      </c>
      <c r="S3" s="27">
        <v>84.7</v>
      </c>
      <c r="T3" s="27">
        <v>1985.0000000000002</v>
      </c>
      <c r="U3" s="26">
        <v>12940000</v>
      </c>
      <c r="V3" s="27">
        <v>126200</v>
      </c>
      <c r="W3" s="27">
        <v>193400</v>
      </c>
      <c r="X3" s="27">
        <v>48.9</v>
      </c>
      <c r="Y3" s="26">
        <v>38.72</v>
      </c>
      <c r="Z3" s="27">
        <v>176800</v>
      </c>
      <c r="AA3" s="27">
        <v>117900000000</v>
      </c>
      <c r="AB3" s="102">
        <v>2</v>
      </c>
      <c r="AC3" s="27">
        <v>3</v>
      </c>
      <c r="AD3" s="27">
        <v>4</v>
      </c>
      <c r="AE3" s="26">
        <v>2</v>
      </c>
      <c r="AF3" s="27">
        <v>3</v>
      </c>
      <c r="AG3" s="27">
        <v>4</v>
      </c>
    </row>
    <row r="4" spans="1:33" ht="28.5" x14ac:dyDescent="0.45">
      <c r="A4" s="43" t="s">
        <v>314</v>
      </c>
      <c r="B4" s="31">
        <v>53.5</v>
      </c>
      <c r="C4" s="30">
        <v>204</v>
      </c>
      <c r="D4" s="31">
        <v>207</v>
      </c>
      <c r="E4" s="31">
        <v>11.3</v>
      </c>
      <c r="F4" s="31">
        <v>11.3</v>
      </c>
      <c r="G4" s="31">
        <v>10</v>
      </c>
      <c r="H4" s="30">
        <v>6840.0000000000009</v>
      </c>
      <c r="I4" s="30">
        <v>181.4</v>
      </c>
      <c r="J4" s="31">
        <v>161.4</v>
      </c>
      <c r="K4" s="32" t="s">
        <v>110</v>
      </c>
      <c r="L4" s="31">
        <v>104</v>
      </c>
      <c r="M4" s="31">
        <v>108</v>
      </c>
      <c r="N4" s="30">
        <v>1.196</v>
      </c>
      <c r="O4" s="31">
        <v>22.36</v>
      </c>
      <c r="P4" s="30">
        <v>49770000</v>
      </c>
      <c r="Q4" s="31">
        <v>488000</v>
      </c>
      <c r="R4" s="31">
        <v>551300</v>
      </c>
      <c r="S4" s="31">
        <v>85.5</v>
      </c>
      <c r="T4" s="31">
        <v>2489</v>
      </c>
      <c r="U4" s="30">
        <v>16730000</v>
      </c>
      <c r="V4" s="31">
        <v>161700</v>
      </c>
      <c r="W4" s="31">
        <v>248600</v>
      </c>
      <c r="X4" s="31">
        <v>49.6</v>
      </c>
      <c r="Y4" s="30">
        <v>45.62</v>
      </c>
      <c r="Z4" s="31">
        <v>342000</v>
      </c>
      <c r="AA4" s="31">
        <v>155100000000</v>
      </c>
      <c r="AB4" s="103">
        <v>1</v>
      </c>
      <c r="AC4" s="31">
        <v>2</v>
      </c>
      <c r="AD4" s="31">
        <v>3</v>
      </c>
      <c r="AE4" s="30">
        <v>1</v>
      </c>
      <c r="AF4" s="31">
        <v>2</v>
      </c>
      <c r="AG4" s="31">
        <v>3</v>
      </c>
    </row>
    <row r="5" spans="1:33" ht="28.5" x14ac:dyDescent="0.45">
      <c r="A5" s="104" t="s">
        <v>315</v>
      </c>
      <c r="B5" s="31">
        <v>57.2</v>
      </c>
      <c r="C5" s="30">
        <v>210</v>
      </c>
      <c r="D5" s="31">
        <v>224.5</v>
      </c>
      <c r="E5" s="31">
        <v>11</v>
      </c>
      <c r="F5" s="31">
        <v>11</v>
      </c>
      <c r="G5" s="31">
        <v>18</v>
      </c>
      <c r="H5" s="30">
        <v>7290.0000000000009</v>
      </c>
      <c r="I5" s="30">
        <v>188</v>
      </c>
      <c r="J5" s="31">
        <v>152</v>
      </c>
      <c r="K5" s="32" t="s">
        <v>110</v>
      </c>
      <c r="L5" s="31">
        <v>102</v>
      </c>
      <c r="M5" s="31">
        <v>122</v>
      </c>
      <c r="N5" s="30">
        <v>1.2649999999999999</v>
      </c>
      <c r="O5" s="31">
        <v>22.12</v>
      </c>
      <c r="P5" s="30">
        <v>57290000</v>
      </c>
      <c r="Q5" s="31">
        <v>545600</v>
      </c>
      <c r="R5" s="31">
        <v>613700</v>
      </c>
      <c r="S5" s="31">
        <v>88.699999999999989</v>
      </c>
      <c r="T5" s="31">
        <v>2863</v>
      </c>
      <c r="U5" s="30">
        <v>20790000</v>
      </c>
      <c r="V5" s="31">
        <v>185200</v>
      </c>
      <c r="W5" s="31">
        <v>285500</v>
      </c>
      <c r="X5" s="31">
        <v>53.4</v>
      </c>
      <c r="Y5" s="30">
        <v>54.09</v>
      </c>
      <c r="Z5" s="31">
        <v>441800</v>
      </c>
      <c r="AA5" s="31">
        <v>205400000000</v>
      </c>
      <c r="AB5" s="103">
        <v>1</v>
      </c>
      <c r="AC5" s="31">
        <v>2</v>
      </c>
      <c r="AD5" s="31">
        <v>3</v>
      </c>
      <c r="AE5" s="30">
        <v>1</v>
      </c>
      <c r="AF5" s="31">
        <v>2</v>
      </c>
      <c r="AG5" s="31">
        <v>3</v>
      </c>
    </row>
    <row r="6" spans="1:33" ht="28.5" x14ac:dyDescent="0.45">
      <c r="A6" s="104" t="s">
        <v>316</v>
      </c>
      <c r="B6" s="31">
        <v>75</v>
      </c>
      <c r="C6" s="30">
        <v>249</v>
      </c>
      <c r="D6" s="31">
        <v>265</v>
      </c>
      <c r="E6" s="31">
        <v>12</v>
      </c>
      <c r="F6" s="31">
        <v>12</v>
      </c>
      <c r="G6" s="31">
        <v>24</v>
      </c>
      <c r="H6" s="30">
        <v>9550</v>
      </c>
      <c r="I6" s="30">
        <v>225</v>
      </c>
      <c r="J6" s="31">
        <v>177</v>
      </c>
      <c r="K6" s="32" t="s">
        <v>110</v>
      </c>
      <c r="L6" s="31">
        <v>116</v>
      </c>
      <c r="M6" s="31">
        <v>164</v>
      </c>
      <c r="N6" s="30">
        <v>1.4930000000000001</v>
      </c>
      <c r="O6" s="31">
        <v>19.899999999999999</v>
      </c>
      <c r="P6" s="30">
        <v>106500000</v>
      </c>
      <c r="Q6" s="31">
        <v>855100</v>
      </c>
      <c r="R6" s="31">
        <v>958500</v>
      </c>
      <c r="S6" s="31">
        <v>105.60000000000001</v>
      </c>
      <c r="T6" s="31">
        <v>3914</v>
      </c>
      <c r="U6" s="30">
        <v>37330000</v>
      </c>
      <c r="V6" s="31">
        <v>281700</v>
      </c>
      <c r="W6" s="31">
        <v>435100</v>
      </c>
      <c r="X6" s="31">
        <v>62.5</v>
      </c>
      <c r="Y6" s="30">
        <v>64.12</v>
      </c>
      <c r="Z6" s="31">
        <v>792900.00000000012</v>
      </c>
      <c r="AA6" s="31">
        <v>522600000000</v>
      </c>
      <c r="AB6" s="103">
        <v>1</v>
      </c>
      <c r="AC6" s="31">
        <v>3</v>
      </c>
      <c r="AD6" s="31">
        <v>3</v>
      </c>
      <c r="AE6" s="30">
        <v>1</v>
      </c>
      <c r="AF6" s="31">
        <v>3</v>
      </c>
      <c r="AG6" s="31">
        <v>3</v>
      </c>
    </row>
    <row r="7" spans="1:33" ht="28.5" x14ac:dyDescent="0.45">
      <c r="A7" s="105" t="s">
        <v>317</v>
      </c>
      <c r="B7" s="36">
        <v>87.3</v>
      </c>
      <c r="C7" s="35">
        <v>253</v>
      </c>
      <c r="D7" s="36">
        <v>267</v>
      </c>
      <c r="E7" s="36">
        <v>14</v>
      </c>
      <c r="F7" s="36">
        <v>14</v>
      </c>
      <c r="G7" s="36">
        <v>24</v>
      </c>
      <c r="H7" s="35">
        <v>11100</v>
      </c>
      <c r="I7" s="35">
        <v>225</v>
      </c>
      <c r="J7" s="36">
        <v>177</v>
      </c>
      <c r="K7" s="37" t="s">
        <v>108</v>
      </c>
      <c r="L7" s="36">
        <v>118</v>
      </c>
      <c r="M7" s="36">
        <v>166</v>
      </c>
      <c r="N7" s="35">
        <v>1.5049999999999999</v>
      </c>
      <c r="O7" s="36">
        <v>17.239999999999998</v>
      </c>
      <c r="P7" s="35">
        <v>125900000</v>
      </c>
      <c r="Q7" s="36">
        <v>994900</v>
      </c>
      <c r="R7" s="36">
        <v>1124000</v>
      </c>
      <c r="S7" s="36">
        <v>106.4</v>
      </c>
      <c r="T7" s="36">
        <v>4512</v>
      </c>
      <c r="U7" s="35">
        <v>44550000</v>
      </c>
      <c r="V7" s="36">
        <v>333700</v>
      </c>
      <c r="W7" s="36">
        <v>516200.00000000006</v>
      </c>
      <c r="X7" s="36">
        <v>63.3</v>
      </c>
      <c r="Y7" s="35">
        <v>70.12</v>
      </c>
      <c r="Z7" s="36">
        <v>1157000</v>
      </c>
      <c r="AA7" s="36">
        <v>634200000000</v>
      </c>
      <c r="AB7" s="106">
        <v>1</v>
      </c>
      <c r="AC7" s="36">
        <v>1</v>
      </c>
      <c r="AD7" s="36">
        <v>3</v>
      </c>
      <c r="AE7" s="35">
        <v>1</v>
      </c>
      <c r="AF7" s="36">
        <v>1</v>
      </c>
      <c r="AG7" s="36">
        <v>3</v>
      </c>
    </row>
    <row r="8" spans="1:33" ht="28.5" x14ac:dyDescent="0.45">
      <c r="A8" s="40" t="s">
        <v>318</v>
      </c>
      <c r="B8" s="36">
        <v>78.900000000000006</v>
      </c>
      <c r="C8" s="35">
        <v>299.3</v>
      </c>
      <c r="D8" s="36">
        <v>306.39999999999998</v>
      </c>
      <c r="E8" s="36">
        <v>11</v>
      </c>
      <c r="F8" s="36">
        <v>11.1</v>
      </c>
      <c r="G8" s="36">
        <v>15.2</v>
      </c>
      <c r="H8" s="35">
        <v>10100</v>
      </c>
      <c r="I8" s="35">
        <v>277.10000000000002</v>
      </c>
      <c r="J8" s="36">
        <v>246.7</v>
      </c>
      <c r="K8" s="37" t="s">
        <v>108</v>
      </c>
      <c r="L8" s="36">
        <v>102</v>
      </c>
      <c r="M8" s="36">
        <v>204</v>
      </c>
      <c r="N8" s="35">
        <v>1.776</v>
      </c>
      <c r="O8" s="36">
        <v>22.52</v>
      </c>
      <c r="P8" s="35">
        <v>164400000</v>
      </c>
      <c r="Q8" s="36">
        <v>1099000</v>
      </c>
      <c r="R8" s="36">
        <v>1218000</v>
      </c>
      <c r="S8" s="36">
        <v>127.89999999999999</v>
      </c>
      <c r="T8" s="36">
        <v>3706</v>
      </c>
      <c r="U8" s="35">
        <v>53260000</v>
      </c>
      <c r="V8" s="36">
        <v>347700</v>
      </c>
      <c r="W8" s="36">
        <v>531200</v>
      </c>
      <c r="X8" s="36">
        <v>72.8</v>
      </c>
      <c r="Y8" s="35">
        <v>51.01</v>
      </c>
      <c r="Z8" s="36">
        <v>513700</v>
      </c>
      <c r="AA8" s="36">
        <v>1105000000000</v>
      </c>
      <c r="AB8" s="106">
        <v>3</v>
      </c>
      <c r="AC8" s="36">
        <v>4</v>
      </c>
      <c r="AD8" s="36">
        <v>4</v>
      </c>
      <c r="AE8" s="35">
        <v>3</v>
      </c>
      <c r="AF8" s="36">
        <v>4</v>
      </c>
      <c r="AG8" s="36">
        <v>4</v>
      </c>
    </row>
    <row r="9" spans="1:33" ht="28.5" x14ac:dyDescent="0.45">
      <c r="A9" s="43" t="s">
        <v>319</v>
      </c>
      <c r="B9" s="31">
        <v>88</v>
      </c>
      <c r="C9" s="30">
        <v>301.7</v>
      </c>
      <c r="D9" s="31">
        <v>307.8</v>
      </c>
      <c r="E9" s="31">
        <v>12.4</v>
      </c>
      <c r="F9" s="31">
        <v>12.3</v>
      </c>
      <c r="G9" s="31">
        <v>15.2</v>
      </c>
      <c r="H9" s="30">
        <v>11200</v>
      </c>
      <c r="I9" s="30">
        <v>277.10000000000002</v>
      </c>
      <c r="J9" s="31">
        <v>246.7</v>
      </c>
      <c r="K9" s="32" t="s">
        <v>110</v>
      </c>
      <c r="L9" s="31">
        <v>104</v>
      </c>
      <c r="M9" s="31">
        <v>206</v>
      </c>
      <c r="N9" s="30">
        <v>1.784</v>
      </c>
      <c r="O9" s="31">
        <v>20.28</v>
      </c>
      <c r="P9" s="30">
        <v>184200000</v>
      </c>
      <c r="Q9" s="31">
        <v>1221000</v>
      </c>
      <c r="R9" s="31">
        <v>1360000</v>
      </c>
      <c r="S9" s="31">
        <v>128.19999999999999</v>
      </c>
      <c r="T9" s="31">
        <v>4161</v>
      </c>
      <c r="U9" s="30">
        <v>59840000</v>
      </c>
      <c r="V9" s="31">
        <v>388900</v>
      </c>
      <c r="W9" s="31">
        <v>595200</v>
      </c>
      <c r="X9" s="31">
        <v>73.099999999999994</v>
      </c>
      <c r="Y9" s="30">
        <v>54.81</v>
      </c>
      <c r="Z9" s="31">
        <v>700500</v>
      </c>
      <c r="AA9" s="31">
        <v>1252000000000</v>
      </c>
      <c r="AB9" s="103">
        <v>3</v>
      </c>
      <c r="AC9" s="31">
        <v>3</v>
      </c>
      <c r="AD9" s="31">
        <v>4</v>
      </c>
      <c r="AE9" s="30">
        <v>3</v>
      </c>
      <c r="AF9" s="31">
        <v>3</v>
      </c>
      <c r="AG9" s="31">
        <v>4</v>
      </c>
    </row>
    <row r="10" spans="1:33" ht="28.5" x14ac:dyDescent="0.45">
      <c r="A10" s="40" t="s">
        <v>320</v>
      </c>
      <c r="B10" s="36">
        <v>94.9</v>
      </c>
      <c r="C10" s="35">
        <v>303.7</v>
      </c>
      <c r="D10" s="36">
        <v>308.7</v>
      </c>
      <c r="E10" s="36">
        <v>13.3</v>
      </c>
      <c r="F10" s="36">
        <v>13.3</v>
      </c>
      <c r="G10" s="36">
        <v>15.2</v>
      </c>
      <c r="H10" s="35">
        <v>12100</v>
      </c>
      <c r="I10" s="35">
        <v>277.10000000000002</v>
      </c>
      <c r="J10" s="36">
        <v>246.7</v>
      </c>
      <c r="K10" s="37" t="s">
        <v>108</v>
      </c>
      <c r="L10" s="36">
        <v>106</v>
      </c>
      <c r="M10" s="36">
        <v>206</v>
      </c>
      <c r="N10" s="35">
        <v>1.79</v>
      </c>
      <c r="O10" s="36">
        <v>18.850000000000001</v>
      </c>
      <c r="P10" s="35">
        <v>200400000</v>
      </c>
      <c r="Q10" s="36">
        <v>1320000</v>
      </c>
      <c r="R10" s="36">
        <v>1474000</v>
      </c>
      <c r="S10" s="36">
        <v>128.69999999999999</v>
      </c>
      <c r="T10" s="36">
        <v>4465</v>
      </c>
      <c r="U10" s="35">
        <v>65290000</v>
      </c>
      <c r="V10" s="36">
        <v>423000</v>
      </c>
      <c r="W10" s="36">
        <v>648000</v>
      </c>
      <c r="X10" s="36">
        <v>73.5</v>
      </c>
      <c r="Y10" s="35">
        <v>57.71</v>
      </c>
      <c r="Z10" s="36">
        <v>866900</v>
      </c>
      <c r="AA10" s="36">
        <v>1375000000000</v>
      </c>
      <c r="AB10" s="106">
        <v>2</v>
      </c>
      <c r="AC10" s="36">
        <v>3</v>
      </c>
      <c r="AD10" s="36">
        <v>3</v>
      </c>
      <c r="AE10" s="35">
        <v>2</v>
      </c>
      <c r="AF10" s="36">
        <v>3</v>
      </c>
      <c r="AG10" s="36">
        <v>3</v>
      </c>
    </row>
    <row r="11" spans="1:33" ht="28.5" x14ac:dyDescent="0.45">
      <c r="A11" s="43" t="s">
        <v>321</v>
      </c>
      <c r="B11" s="31">
        <v>110</v>
      </c>
      <c r="C11" s="30">
        <v>307.89999999999998</v>
      </c>
      <c r="D11" s="31">
        <v>310.7</v>
      </c>
      <c r="E11" s="31">
        <v>15.3</v>
      </c>
      <c r="F11" s="31">
        <v>15.4</v>
      </c>
      <c r="G11" s="31">
        <v>15.2</v>
      </c>
      <c r="H11" s="30">
        <v>14000</v>
      </c>
      <c r="I11" s="30">
        <v>277.10000000000002</v>
      </c>
      <c r="J11" s="31">
        <v>246.7</v>
      </c>
      <c r="K11" s="32" t="s">
        <v>110</v>
      </c>
      <c r="L11" s="31">
        <v>108</v>
      </c>
      <c r="M11" s="31">
        <v>208</v>
      </c>
      <c r="N11" s="30">
        <v>1.802</v>
      </c>
      <c r="O11" s="31">
        <v>16.39</v>
      </c>
      <c r="P11" s="30">
        <v>235600000</v>
      </c>
      <c r="Q11" s="31">
        <v>1531000</v>
      </c>
      <c r="R11" s="31">
        <v>1720000</v>
      </c>
      <c r="S11" s="31">
        <v>129.70000000000002</v>
      </c>
      <c r="T11" s="31">
        <v>5142</v>
      </c>
      <c r="U11" s="30">
        <v>77090000</v>
      </c>
      <c r="V11" s="31">
        <v>496200</v>
      </c>
      <c r="W11" s="31">
        <v>761700</v>
      </c>
      <c r="X11" s="31">
        <v>74.2</v>
      </c>
      <c r="Y11" s="30">
        <v>63.91</v>
      </c>
      <c r="Z11" s="31">
        <v>1314000</v>
      </c>
      <c r="AA11" s="31">
        <v>1647000000000</v>
      </c>
      <c r="AB11" s="103">
        <v>1</v>
      </c>
      <c r="AC11" s="31">
        <v>3</v>
      </c>
      <c r="AD11" s="31">
        <v>3</v>
      </c>
      <c r="AE11" s="30">
        <v>1</v>
      </c>
      <c r="AF11" s="31">
        <v>3</v>
      </c>
      <c r="AG11" s="31">
        <v>3</v>
      </c>
    </row>
    <row r="12" spans="1:33" ht="28.5" x14ac:dyDescent="0.45">
      <c r="A12" s="40" t="s">
        <v>322</v>
      </c>
      <c r="B12" s="36">
        <v>126</v>
      </c>
      <c r="C12" s="35">
        <v>312.3</v>
      </c>
      <c r="D12" s="36">
        <v>312.89999999999998</v>
      </c>
      <c r="E12" s="36">
        <v>17.5</v>
      </c>
      <c r="F12" s="36">
        <v>17.600000000000001</v>
      </c>
      <c r="G12" s="36">
        <v>15.2</v>
      </c>
      <c r="H12" s="35">
        <v>16100</v>
      </c>
      <c r="I12" s="35">
        <v>277.10000000000002</v>
      </c>
      <c r="J12" s="36">
        <v>246.7</v>
      </c>
      <c r="K12" s="37" t="s">
        <v>108</v>
      </c>
      <c r="L12" s="36">
        <v>110</v>
      </c>
      <c r="M12" s="36">
        <v>210</v>
      </c>
      <c r="N12" s="35">
        <v>1.8149999999999999</v>
      </c>
      <c r="O12" s="36">
        <v>14.4</v>
      </c>
      <c r="P12" s="35">
        <v>274100000</v>
      </c>
      <c r="Q12" s="36">
        <v>1755000</v>
      </c>
      <c r="R12" s="36">
        <v>1986000</v>
      </c>
      <c r="S12" s="36">
        <v>130.6</v>
      </c>
      <c r="T12" s="36">
        <v>5891</v>
      </c>
      <c r="U12" s="35">
        <v>90020000</v>
      </c>
      <c r="V12" s="36">
        <v>575400</v>
      </c>
      <c r="W12" s="36">
        <v>885200</v>
      </c>
      <c r="X12" s="36">
        <v>74.900000000000006</v>
      </c>
      <c r="Y12" s="35">
        <v>70.510000000000005</v>
      </c>
      <c r="Z12" s="36">
        <v>1943000</v>
      </c>
      <c r="AA12" s="36">
        <v>1951000000000</v>
      </c>
      <c r="AB12" s="106">
        <v>1</v>
      </c>
      <c r="AC12" s="36">
        <v>2</v>
      </c>
      <c r="AD12" s="36">
        <v>3</v>
      </c>
      <c r="AE12" s="35">
        <v>1</v>
      </c>
      <c r="AF12" s="36">
        <v>2</v>
      </c>
      <c r="AG12" s="36">
        <v>3</v>
      </c>
    </row>
    <row r="13" spans="1:33" ht="28.5" x14ac:dyDescent="0.45">
      <c r="A13" s="43" t="s">
        <v>323</v>
      </c>
      <c r="B13" s="31">
        <v>149</v>
      </c>
      <c r="C13" s="30">
        <v>318.5</v>
      </c>
      <c r="D13" s="31">
        <v>316</v>
      </c>
      <c r="E13" s="31">
        <v>20.6</v>
      </c>
      <c r="F13" s="31">
        <v>20.7</v>
      </c>
      <c r="G13" s="31">
        <v>15.2</v>
      </c>
      <c r="H13" s="30">
        <v>19000</v>
      </c>
      <c r="I13" s="30">
        <v>277.10000000000002</v>
      </c>
      <c r="J13" s="31">
        <v>246.7</v>
      </c>
      <c r="K13" s="32" t="s">
        <v>110</v>
      </c>
      <c r="L13" s="31">
        <v>114</v>
      </c>
      <c r="M13" s="31">
        <v>214</v>
      </c>
      <c r="N13" s="30">
        <v>1.8340000000000001</v>
      </c>
      <c r="O13" s="31">
        <v>12.3</v>
      </c>
      <c r="P13" s="30">
        <v>330700000</v>
      </c>
      <c r="Q13" s="31">
        <v>2076000</v>
      </c>
      <c r="R13" s="31">
        <v>2370000</v>
      </c>
      <c r="S13" s="31">
        <v>132</v>
      </c>
      <c r="T13" s="31">
        <v>6962</v>
      </c>
      <c r="U13" s="30">
        <v>109100000</v>
      </c>
      <c r="V13" s="31">
        <v>690500</v>
      </c>
      <c r="W13" s="31">
        <v>1066000</v>
      </c>
      <c r="X13" s="31">
        <v>75.8</v>
      </c>
      <c r="Y13" s="30">
        <v>79.81</v>
      </c>
      <c r="Z13" s="31">
        <v>3142000</v>
      </c>
      <c r="AA13" s="31">
        <v>2414000000000</v>
      </c>
      <c r="AB13" s="103">
        <v>1</v>
      </c>
      <c r="AC13" s="31">
        <v>1</v>
      </c>
      <c r="AD13" s="31">
        <v>1</v>
      </c>
      <c r="AE13" s="30">
        <v>1</v>
      </c>
      <c r="AF13" s="31">
        <v>1</v>
      </c>
      <c r="AG13" s="31">
        <v>1</v>
      </c>
    </row>
    <row r="14" spans="1:33" ht="28.5" x14ac:dyDescent="0.45">
      <c r="A14" s="40" t="s">
        <v>324</v>
      </c>
      <c r="B14" s="36">
        <v>180</v>
      </c>
      <c r="C14" s="35">
        <v>326.7</v>
      </c>
      <c r="D14" s="36">
        <v>319.7</v>
      </c>
      <c r="E14" s="36">
        <v>24.8</v>
      </c>
      <c r="F14" s="36">
        <v>24.8</v>
      </c>
      <c r="G14" s="36">
        <v>15.2</v>
      </c>
      <c r="H14" s="35">
        <v>22900</v>
      </c>
      <c r="I14" s="35">
        <v>277.10000000000002</v>
      </c>
      <c r="J14" s="36">
        <v>246.7</v>
      </c>
      <c r="K14" s="37" t="s">
        <v>108</v>
      </c>
      <c r="L14" s="36">
        <v>118</v>
      </c>
      <c r="M14" s="36">
        <v>218</v>
      </c>
      <c r="N14" s="35">
        <v>1.857</v>
      </c>
      <c r="O14" s="36">
        <v>10.31</v>
      </c>
      <c r="P14" s="35">
        <v>409700000</v>
      </c>
      <c r="Q14" s="36">
        <v>2508000</v>
      </c>
      <c r="R14" s="36">
        <v>2897000</v>
      </c>
      <c r="S14" s="36">
        <v>133.69999999999999</v>
      </c>
      <c r="T14" s="36">
        <v>8439</v>
      </c>
      <c r="U14" s="35">
        <v>135500000</v>
      </c>
      <c r="V14" s="36">
        <v>847400</v>
      </c>
      <c r="W14" s="36">
        <v>1313000</v>
      </c>
      <c r="X14" s="36">
        <v>76.900000000000006</v>
      </c>
      <c r="Y14" s="35">
        <v>92.21</v>
      </c>
      <c r="Z14" s="36">
        <v>5417000</v>
      </c>
      <c r="AA14" s="36">
        <v>3077000000000</v>
      </c>
      <c r="AB14" s="106">
        <v>1</v>
      </c>
      <c r="AC14" s="36">
        <v>1</v>
      </c>
      <c r="AD14" s="36">
        <v>1</v>
      </c>
      <c r="AE14" s="35">
        <v>1</v>
      </c>
      <c r="AF14" s="36">
        <v>1</v>
      </c>
      <c r="AG14" s="36">
        <v>1</v>
      </c>
    </row>
    <row r="15" spans="1:33" ht="28.5" x14ac:dyDescent="0.45">
      <c r="A15" s="43" t="s">
        <v>325</v>
      </c>
      <c r="B15" s="31">
        <v>186</v>
      </c>
      <c r="C15" s="30">
        <v>328.3</v>
      </c>
      <c r="D15" s="31">
        <v>320.89999999999998</v>
      </c>
      <c r="E15" s="31">
        <v>25.5</v>
      </c>
      <c r="F15" s="31">
        <v>25.6</v>
      </c>
      <c r="G15" s="31">
        <v>15.2</v>
      </c>
      <c r="H15" s="30">
        <v>23700</v>
      </c>
      <c r="I15" s="30">
        <v>277.10000000000002</v>
      </c>
      <c r="J15" s="31">
        <v>246.7</v>
      </c>
      <c r="K15" s="32" t="s">
        <v>110</v>
      </c>
      <c r="L15" s="31">
        <v>118</v>
      </c>
      <c r="M15" s="31">
        <v>218</v>
      </c>
      <c r="N15" s="30">
        <v>1.863</v>
      </c>
      <c r="O15" s="31">
        <v>10.02</v>
      </c>
      <c r="P15" s="30">
        <v>426100000</v>
      </c>
      <c r="Q15" s="31">
        <v>2596000</v>
      </c>
      <c r="R15" s="31">
        <v>3003000</v>
      </c>
      <c r="S15" s="31">
        <v>134.1</v>
      </c>
      <c r="T15" s="31">
        <v>8695</v>
      </c>
      <c r="U15" s="30">
        <v>141400000</v>
      </c>
      <c r="V15" s="31">
        <v>881500</v>
      </c>
      <c r="W15" s="31">
        <v>1366000</v>
      </c>
      <c r="X15" s="31">
        <v>77.300000000000011</v>
      </c>
      <c r="Y15" s="30">
        <v>94.51</v>
      </c>
      <c r="Z15" s="31">
        <v>5937000</v>
      </c>
      <c r="AA15" s="31">
        <v>3230000000000</v>
      </c>
      <c r="AB15" s="103">
        <v>1</v>
      </c>
      <c r="AC15" s="31">
        <v>1</v>
      </c>
      <c r="AD15" s="31">
        <v>1</v>
      </c>
      <c r="AE15" s="30">
        <v>1</v>
      </c>
      <c r="AF15" s="31">
        <v>1</v>
      </c>
      <c r="AG15" s="31">
        <v>1</v>
      </c>
    </row>
    <row r="16" spans="1:33" ht="28.5" x14ac:dyDescent="0.45">
      <c r="A16" s="40" t="s">
        <v>326</v>
      </c>
      <c r="B16" s="36">
        <v>223</v>
      </c>
      <c r="C16" s="35">
        <v>337.9</v>
      </c>
      <c r="D16" s="36">
        <v>325.7</v>
      </c>
      <c r="E16" s="36">
        <v>30.3</v>
      </c>
      <c r="F16" s="36">
        <v>30.4</v>
      </c>
      <c r="G16" s="36">
        <v>15.2</v>
      </c>
      <c r="H16" s="35">
        <v>28400</v>
      </c>
      <c r="I16" s="35">
        <v>277.10000000000002</v>
      </c>
      <c r="J16" s="36">
        <v>246.7</v>
      </c>
      <c r="K16" s="37" t="s">
        <v>108</v>
      </c>
      <c r="L16" s="36">
        <v>124</v>
      </c>
      <c r="M16" s="36">
        <v>220</v>
      </c>
      <c r="N16" s="35">
        <v>1.8919999999999999</v>
      </c>
      <c r="O16" s="36">
        <v>8.4870000000000001</v>
      </c>
      <c r="P16" s="35">
        <v>527000000</v>
      </c>
      <c r="Q16" s="36">
        <v>3119000</v>
      </c>
      <c r="R16" s="36">
        <v>3653000</v>
      </c>
      <c r="S16" s="36">
        <v>136.19999999999999</v>
      </c>
      <c r="T16" s="36">
        <v>10440</v>
      </c>
      <c r="U16" s="35">
        <v>175800000</v>
      </c>
      <c r="V16" s="36">
        <v>1079000</v>
      </c>
      <c r="W16" s="36">
        <v>1680000</v>
      </c>
      <c r="X16" s="36">
        <v>78.7</v>
      </c>
      <c r="Y16" s="35">
        <v>108.9</v>
      </c>
      <c r="Z16" s="36">
        <v>9984000</v>
      </c>
      <c r="AA16" s="36">
        <v>4138000000000</v>
      </c>
      <c r="AB16" s="106">
        <v>1</v>
      </c>
      <c r="AC16" s="36">
        <v>1</v>
      </c>
      <c r="AD16" s="36">
        <v>1</v>
      </c>
      <c r="AE16" s="35">
        <v>1</v>
      </c>
      <c r="AF16" s="36">
        <v>1</v>
      </c>
      <c r="AG16" s="36">
        <v>1</v>
      </c>
    </row>
    <row r="17" spans="1:33" ht="28.5" x14ac:dyDescent="0.45">
      <c r="A17" s="105" t="s">
        <v>327</v>
      </c>
      <c r="B17" s="36">
        <v>88.5</v>
      </c>
      <c r="C17" s="35">
        <v>303</v>
      </c>
      <c r="D17" s="36">
        <v>304</v>
      </c>
      <c r="E17" s="36">
        <v>12</v>
      </c>
      <c r="F17" s="36">
        <v>12</v>
      </c>
      <c r="G17" s="36">
        <v>27</v>
      </c>
      <c r="H17" s="35">
        <v>11300</v>
      </c>
      <c r="I17" s="35">
        <v>279</v>
      </c>
      <c r="J17" s="36">
        <v>225</v>
      </c>
      <c r="K17" s="37" t="s">
        <v>108</v>
      </c>
      <c r="L17" s="36">
        <v>122</v>
      </c>
      <c r="M17" s="36">
        <v>202</v>
      </c>
      <c r="N17" s="35">
        <v>1.752</v>
      </c>
      <c r="O17" s="36">
        <v>19.8</v>
      </c>
      <c r="P17" s="35">
        <v>187400000</v>
      </c>
      <c r="Q17" s="36">
        <v>1237000</v>
      </c>
      <c r="R17" s="36">
        <v>1379000</v>
      </c>
      <c r="S17" s="36">
        <v>129</v>
      </c>
      <c r="T17" s="36">
        <v>4766</v>
      </c>
      <c r="U17" s="35">
        <v>56340000</v>
      </c>
      <c r="V17" s="36">
        <v>370600</v>
      </c>
      <c r="W17" s="36">
        <v>572100</v>
      </c>
      <c r="X17" s="36">
        <v>70.7</v>
      </c>
      <c r="Y17" s="35">
        <v>67.599999999999994</v>
      </c>
      <c r="Z17" s="36">
        <v>990400.00000000012</v>
      </c>
      <c r="AA17" s="36">
        <v>1190000000000</v>
      </c>
      <c r="AB17" s="106">
        <v>2</v>
      </c>
      <c r="AC17" s="36">
        <v>3</v>
      </c>
      <c r="AD17" s="36">
        <v>3</v>
      </c>
      <c r="AE17" s="35">
        <v>2</v>
      </c>
      <c r="AF17" s="36">
        <v>3</v>
      </c>
      <c r="AG17" s="36">
        <v>3</v>
      </c>
    </row>
    <row r="18" spans="1:33" ht="28.5" x14ac:dyDescent="0.45">
      <c r="A18" s="104" t="s">
        <v>328</v>
      </c>
      <c r="B18" s="31">
        <v>103</v>
      </c>
      <c r="C18" s="30">
        <v>307</v>
      </c>
      <c r="D18" s="31">
        <v>306</v>
      </c>
      <c r="E18" s="31">
        <v>14</v>
      </c>
      <c r="F18" s="31">
        <v>14</v>
      </c>
      <c r="G18" s="31">
        <v>27</v>
      </c>
      <c r="H18" s="30">
        <v>13100</v>
      </c>
      <c r="I18" s="30">
        <v>279</v>
      </c>
      <c r="J18" s="31">
        <v>225</v>
      </c>
      <c r="K18" s="32" t="s">
        <v>110</v>
      </c>
      <c r="L18" s="31">
        <v>124</v>
      </c>
      <c r="M18" s="31">
        <v>204</v>
      </c>
      <c r="N18" s="30">
        <v>1.764</v>
      </c>
      <c r="O18" s="31">
        <v>17.149999999999999</v>
      </c>
      <c r="P18" s="30">
        <v>220500000</v>
      </c>
      <c r="Q18" s="31">
        <v>1437000</v>
      </c>
      <c r="R18" s="31">
        <v>1611000</v>
      </c>
      <c r="S18" s="31">
        <v>129.70000000000002</v>
      </c>
      <c r="T18" s="31">
        <v>5484</v>
      </c>
      <c r="U18" s="30">
        <v>67040000</v>
      </c>
      <c r="V18" s="31">
        <v>438200</v>
      </c>
      <c r="W18" s="31">
        <v>677300</v>
      </c>
      <c r="X18" s="31">
        <v>71.5</v>
      </c>
      <c r="Y18" s="30">
        <v>73.599999999999994</v>
      </c>
      <c r="Z18" s="31">
        <v>1423000</v>
      </c>
      <c r="AA18" s="31">
        <v>1435000000000</v>
      </c>
      <c r="AB18" s="103">
        <v>1</v>
      </c>
      <c r="AC18" s="31">
        <v>3</v>
      </c>
      <c r="AD18" s="31">
        <v>3</v>
      </c>
      <c r="AE18" s="30">
        <v>1</v>
      </c>
      <c r="AF18" s="31">
        <v>3</v>
      </c>
      <c r="AG18" s="31">
        <v>3</v>
      </c>
    </row>
    <row r="19" spans="1:33" ht="28.5" x14ac:dyDescent="0.45">
      <c r="A19" s="105" t="s">
        <v>329</v>
      </c>
      <c r="B19" s="36">
        <v>117</v>
      </c>
      <c r="C19" s="35">
        <v>311</v>
      </c>
      <c r="D19" s="36">
        <v>308</v>
      </c>
      <c r="E19" s="36">
        <v>16</v>
      </c>
      <c r="F19" s="36">
        <v>16</v>
      </c>
      <c r="G19" s="36">
        <v>27</v>
      </c>
      <c r="H19" s="35">
        <v>15000</v>
      </c>
      <c r="I19" s="35">
        <v>279</v>
      </c>
      <c r="J19" s="36">
        <v>225</v>
      </c>
      <c r="K19" s="37" t="s">
        <v>108</v>
      </c>
      <c r="L19" s="36">
        <v>126</v>
      </c>
      <c r="M19" s="36">
        <v>206</v>
      </c>
      <c r="N19" s="35">
        <v>1.776</v>
      </c>
      <c r="O19" s="36">
        <v>15.13</v>
      </c>
      <c r="P19" s="35">
        <v>254800000</v>
      </c>
      <c r="Q19" s="36">
        <v>1638000</v>
      </c>
      <c r="R19" s="36">
        <v>1849000</v>
      </c>
      <c r="S19" s="36">
        <v>130.6</v>
      </c>
      <c r="T19" s="36">
        <v>6210</v>
      </c>
      <c r="U19" s="35">
        <v>78150000</v>
      </c>
      <c r="V19" s="36">
        <v>507500</v>
      </c>
      <c r="W19" s="36">
        <v>785500</v>
      </c>
      <c r="X19" s="36">
        <v>72.300000000000011</v>
      </c>
      <c r="Y19" s="35">
        <v>79.599999999999994</v>
      </c>
      <c r="Z19" s="36">
        <v>1985000</v>
      </c>
      <c r="AA19" s="36">
        <v>1695000000000</v>
      </c>
      <c r="AB19" s="106">
        <v>1</v>
      </c>
      <c r="AC19" s="36">
        <v>2</v>
      </c>
      <c r="AD19" s="36">
        <v>3</v>
      </c>
      <c r="AE19" s="35">
        <v>1</v>
      </c>
      <c r="AF19" s="36">
        <v>2</v>
      </c>
      <c r="AG19" s="36">
        <v>3</v>
      </c>
    </row>
    <row r="20" spans="1:33" ht="28.5" x14ac:dyDescent="0.45">
      <c r="A20" s="104" t="s">
        <v>330</v>
      </c>
      <c r="B20" s="31">
        <v>147</v>
      </c>
      <c r="C20" s="30">
        <v>319</v>
      </c>
      <c r="D20" s="31">
        <v>312</v>
      </c>
      <c r="E20" s="31">
        <v>20</v>
      </c>
      <c r="F20" s="31">
        <v>20</v>
      </c>
      <c r="G20" s="31">
        <v>27</v>
      </c>
      <c r="H20" s="30">
        <v>18700</v>
      </c>
      <c r="I20" s="30">
        <v>279</v>
      </c>
      <c r="J20" s="31">
        <v>225</v>
      </c>
      <c r="K20" s="32" t="s">
        <v>110</v>
      </c>
      <c r="L20" s="31">
        <v>130</v>
      </c>
      <c r="M20" s="31">
        <v>210</v>
      </c>
      <c r="N20" s="30">
        <v>1.8</v>
      </c>
      <c r="O20" s="31">
        <v>12.27</v>
      </c>
      <c r="P20" s="30">
        <v>326700000</v>
      </c>
      <c r="Q20" s="31">
        <v>2048000</v>
      </c>
      <c r="R20" s="31">
        <v>2338000</v>
      </c>
      <c r="S20" s="31">
        <v>132.20000000000002</v>
      </c>
      <c r="T20" s="31">
        <v>7686</v>
      </c>
      <c r="U20" s="30">
        <v>101600000</v>
      </c>
      <c r="V20" s="31">
        <v>651300</v>
      </c>
      <c r="W20" s="31">
        <v>1011000</v>
      </c>
      <c r="X20" s="31">
        <v>73.7</v>
      </c>
      <c r="Y20" s="30">
        <v>91.6</v>
      </c>
      <c r="Z20" s="31">
        <v>3571000</v>
      </c>
      <c r="AA20" s="31">
        <v>2263000000000</v>
      </c>
      <c r="AB20" s="103">
        <v>1</v>
      </c>
      <c r="AC20" s="31">
        <v>1</v>
      </c>
      <c r="AD20" s="31">
        <v>1</v>
      </c>
      <c r="AE20" s="30">
        <v>1</v>
      </c>
      <c r="AF20" s="31">
        <v>1</v>
      </c>
      <c r="AG20" s="31">
        <v>1</v>
      </c>
    </row>
    <row r="21" spans="1:33" ht="28.5" x14ac:dyDescent="0.45">
      <c r="A21" s="105" t="s">
        <v>331</v>
      </c>
      <c r="B21" s="36">
        <v>184</v>
      </c>
      <c r="C21" s="35">
        <v>329</v>
      </c>
      <c r="D21" s="36">
        <v>317</v>
      </c>
      <c r="E21" s="36">
        <v>25</v>
      </c>
      <c r="F21" s="36">
        <v>25</v>
      </c>
      <c r="G21" s="36">
        <v>27</v>
      </c>
      <c r="H21" s="35">
        <v>23500</v>
      </c>
      <c r="I21" s="35">
        <v>279</v>
      </c>
      <c r="J21" s="36">
        <v>225</v>
      </c>
      <c r="K21" s="37" t="s">
        <v>108</v>
      </c>
      <c r="L21" s="36">
        <v>136</v>
      </c>
      <c r="M21" s="36">
        <v>216</v>
      </c>
      <c r="N21" s="35">
        <v>1.83</v>
      </c>
      <c r="O21" s="36">
        <v>9.9390000000000001</v>
      </c>
      <c r="P21" s="35">
        <v>423400000</v>
      </c>
      <c r="Q21" s="36">
        <v>2574000</v>
      </c>
      <c r="R21" s="36">
        <v>2979000</v>
      </c>
      <c r="S21" s="36">
        <v>134.4</v>
      </c>
      <c r="T21" s="36">
        <v>9576</v>
      </c>
      <c r="U21" s="35">
        <v>133300000</v>
      </c>
      <c r="V21" s="36">
        <v>841200</v>
      </c>
      <c r="W21" s="36">
        <v>1311000</v>
      </c>
      <c r="X21" s="36">
        <v>75.400000000000006</v>
      </c>
      <c r="Y21" s="35">
        <v>106.6</v>
      </c>
      <c r="Z21" s="36">
        <v>6620000</v>
      </c>
      <c r="AA21" s="36">
        <v>3067000000000</v>
      </c>
      <c r="AB21" s="106">
        <v>1</v>
      </c>
      <c r="AC21" s="36">
        <v>1</v>
      </c>
      <c r="AD21" s="36">
        <v>1</v>
      </c>
      <c r="AE21" s="35">
        <v>1</v>
      </c>
      <c r="AF21" s="36">
        <v>1</v>
      </c>
      <c r="AG21" s="36">
        <v>1</v>
      </c>
    </row>
    <row r="22" spans="1:33" ht="28.5" x14ac:dyDescent="0.45">
      <c r="A22" s="40" t="s">
        <v>332</v>
      </c>
      <c r="B22" s="36">
        <v>109</v>
      </c>
      <c r="C22" s="35">
        <v>346.4</v>
      </c>
      <c r="D22" s="36">
        <v>371</v>
      </c>
      <c r="E22" s="36">
        <v>12.8</v>
      </c>
      <c r="F22" s="36">
        <v>12.9</v>
      </c>
      <c r="G22" s="36">
        <v>15.2</v>
      </c>
      <c r="H22" s="35">
        <v>13900</v>
      </c>
      <c r="I22" s="35">
        <v>320.60000000000002</v>
      </c>
      <c r="J22" s="36">
        <v>290.2</v>
      </c>
      <c r="K22" s="37" t="s">
        <v>108</v>
      </c>
      <c r="L22" s="36">
        <v>102</v>
      </c>
      <c r="M22" s="36">
        <v>266</v>
      </c>
      <c r="N22" s="35">
        <v>2.125</v>
      </c>
      <c r="O22" s="36">
        <v>19.510000000000002</v>
      </c>
      <c r="P22" s="35">
        <v>306300000</v>
      </c>
      <c r="Q22" s="36">
        <v>1769000</v>
      </c>
      <c r="R22" s="36">
        <v>1956000</v>
      </c>
      <c r="S22" s="36">
        <v>148.6</v>
      </c>
      <c r="T22" s="36">
        <v>4859</v>
      </c>
      <c r="U22" s="35">
        <v>109900000</v>
      </c>
      <c r="V22" s="36">
        <v>592300</v>
      </c>
      <c r="W22" s="36">
        <v>902900</v>
      </c>
      <c r="X22" s="36">
        <v>89</v>
      </c>
      <c r="Y22" s="35">
        <v>56.41</v>
      </c>
      <c r="Z22" s="36">
        <v>907300</v>
      </c>
      <c r="AA22" s="36">
        <v>3053000000000</v>
      </c>
      <c r="AB22" s="106">
        <v>3</v>
      </c>
      <c r="AC22" s="36">
        <v>4</v>
      </c>
      <c r="AD22" s="36">
        <v>4</v>
      </c>
      <c r="AE22" s="35">
        <v>3</v>
      </c>
      <c r="AF22" s="36">
        <v>4</v>
      </c>
      <c r="AG22" s="36">
        <v>4</v>
      </c>
    </row>
    <row r="23" spans="1:33" ht="28.5" x14ac:dyDescent="0.45">
      <c r="A23" s="43" t="s">
        <v>333</v>
      </c>
      <c r="B23" s="31">
        <v>133</v>
      </c>
      <c r="C23" s="30">
        <v>352</v>
      </c>
      <c r="D23" s="31">
        <v>373.8</v>
      </c>
      <c r="E23" s="31">
        <v>15.6</v>
      </c>
      <c r="F23" s="31">
        <v>15.7</v>
      </c>
      <c r="G23" s="31">
        <v>15.2</v>
      </c>
      <c r="H23" s="30">
        <v>16900</v>
      </c>
      <c r="I23" s="30">
        <v>320.60000000000002</v>
      </c>
      <c r="J23" s="31">
        <v>290.2</v>
      </c>
      <c r="K23" s="32" t="s">
        <v>110</v>
      </c>
      <c r="L23" s="31">
        <v>104</v>
      </c>
      <c r="M23" s="31">
        <v>268</v>
      </c>
      <c r="N23" s="30">
        <v>2.1419999999999999</v>
      </c>
      <c r="O23" s="31">
        <v>16.11</v>
      </c>
      <c r="P23" s="30">
        <v>379800000</v>
      </c>
      <c r="Q23" s="31">
        <v>2158000</v>
      </c>
      <c r="R23" s="31">
        <v>2406000</v>
      </c>
      <c r="S23" s="31">
        <v>149.80000000000001</v>
      </c>
      <c r="T23" s="31">
        <v>5922</v>
      </c>
      <c r="U23" s="30">
        <v>136800000</v>
      </c>
      <c r="V23" s="31">
        <v>731900</v>
      </c>
      <c r="W23" s="31">
        <v>1119000</v>
      </c>
      <c r="X23" s="31">
        <v>89.9</v>
      </c>
      <c r="Y23" s="30">
        <v>64.81</v>
      </c>
      <c r="Z23" s="31">
        <v>1607000</v>
      </c>
      <c r="AA23" s="31">
        <v>3864000000000</v>
      </c>
      <c r="AB23" s="103">
        <v>3</v>
      </c>
      <c r="AC23" s="31">
        <v>3</v>
      </c>
      <c r="AD23" s="31">
        <v>4</v>
      </c>
      <c r="AE23" s="30">
        <v>3</v>
      </c>
      <c r="AF23" s="31">
        <v>3</v>
      </c>
      <c r="AG23" s="31">
        <v>4</v>
      </c>
    </row>
    <row r="24" spans="1:33" ht="28.5" x14ac:dyDescent="0.45">
      <c r="A24" s="40" t="s">
        <v>334</v>
      </c>
      <c r="B24" s="36">
        <v>152</v>
      </c>
      <c r="C24" s="35">
        <v>356.4</v>
      </c>
      <c r="D24" s="36">
        <v>376</v>
      </c>
      <c r="E24" s="36">
        <v>17.8</v>
      </c>
      <c r="F24" s="36">
        <v>17.899999999999999</v>
      </c>
      <c r="G24" s="36">
        <v>15.2</v>
      </c>
      <c r="H24" s="35">
        <v>19400</v>
      </c>
      <c r="I24" s="35">
        <v>320.60000000000002</v>
      </c>
      <c r="J24" s="36">
        <v>290.2</v>
      </c>
      <c r="K24" s="37" t="s">
        <v>108</v>
      </c>
      <c r="L24" s="36">
        <v>106</v>
      </c>
      <c r="M24" s="36">
        <v>270</v>
      </c>
      <c r="N24" s="35">
        <v>2.1549999999999998</v>
      </c>
      <c r="O24" s="36">
        <v>14.18</v>
      </c>
      <c r="P24" s="35">
        <v>439700000</v>
      </c>
      <c r="Q24" s="36">
        <v>2468000</v>
      </c>
      <c r="R24" s="36">
        <v>2767000</v>
      </c>
      <c r="S24" s="36">
        <v>150.69999999999999</v>
      </c>
      <c r="T24" s="36">
        <v>6768.0000000000009</v>
      </c>
      <c r="U24" s="35">
        <v>158800000</v>
      </c>
      <c r="V24" s="36">
        <v>844500</v>
      </c>
      <c r="W24" s="36">
        <v>1293000</v>
      </c>
      <c r="X24" s="36">
        <v>90.5</v>
      </c>
      <c r="Y24" s="35">
        <v>71.41</v>
      </c>
      <c r="Z24" s="36">
        <v>2364000</v>
      </c>
      <c r="AA24" s="36">
        <v>4543000000000</v>
      </c>
      <c r="AB24" s="106">
        <v>2</v>
      </c>
      <c r="AC24" s="36">
        <v>3</v>
      </c>
      <c r="AD24" s="36">
        <v>3</v>
      </c>
      <c r="AE24" s="35">
        <v>2</v>
      </c>
      <c r="AF24" s="36">
        <v>3</v>
      </c>
      <c r="AG24" s="36">
        <v>3</v>
      </c>
    </row>
    <row r="25" spans="1:33" ht="28.5" x14ac:dyDescent="0.45">
      <c r="A25" s="43" t="s">
        <v>335</v>
      </c>
      <c r="B25" s="31">
        <v>174</v>
      </c>
      <c r="C25" s="30">
        <v>361.4</v>
      </c>
      <c r="D25" s="31">
        <v>378.5</v>
      </c>
      <c r="E25" s="31">
        <v>20.3</v>
      </c>
      <c r="F25" s="31">
        <v>20.399999999999999</v>
      </c>
      <c r="G25" s="31">
        <v>15.2</v>
      </c>
      <c r="H25" s="30">
        <v>22200</v>
      </c>
      <c r="I25" s="30">
        <v>320.60000000000002</v>
      </c>
      <c r="J25" s="31">
        <v>290.2</v>
      </c>
      <c r="K25" s="32" t="s">
        <v>110</v>
      </c>
      <c r="L25" s="31">
        <v>110</v>
      </c>
      <c r="M25" s="31">
        <v>272</v>
      </c>
      <c r="N25" s="30">
        <v>2.17</v>
      </c>
      <c r="O25" s="31">
        <v>12.48</v>
      </c>
      <c r="P25" s="30">
        <v>510100000</v>
      </c>
      <c r="Q25" s="31">
        <v>2823000</v>
      </c>
      <c r="R25" s="31">
        <v>3186000</v>
      </c>
      <c r="S25" s="31">
        <v>151.80000000000001</v>
      </c>
      <c r="T25" s="31">
        <v>7741</v>
      </c>
      <c r="U25" s="30">
        <v>184600000</v>
      </c>
      <c r="V25" s="31">
        <v>975600</v>
      </c>
      <c r="W25" s="31">
        <v>1497000</v>
      </c>
      <c r="X25" s="31">
        <v>91.300000000000011</v>
      </c>
      <c r="Y25" s="30">
        <v>78.91</v>
      </c>
      <c r="Z25" s="31">
        <v>3485000</v>
      </c>
      <c r="AA25" s="31">
        <v>5360000000000</v>
      </c>
      <c r="AB25" s="103">
        <v>1</v>
      </c>
      <c r="AC25" s="31">
        <v>2</v>
      </c>
      <c r="AD25" s="31">
        <v>3</v>
      </c>
      <c r="AE25" s="30">
        <v>1</v>
      </c>
      <c r="AF25" s="31">
        <v>2</v>
      </c>
      <c r="AG25" s="31">
        <v>3</v>
      </c>
    </row>
    <row r="26" spans="1:33" ht="28.5" x14ac:dyDescent="0.45">
      <c r="A26" s="75" t="s">
        <v>336</v>
      </c>
      <c r="B26" s="76">
        <v>180</v>
      </c>
      <c r="C26" s="77">
        <v>362.9</v>
      </c>
      <c r="D26" s="76">
        <v>378.8</v>
      </c>
      <c r="E26" s="76">
        <v>21.1</v>
      </c>
      <c r="F26" s="76">
        <v>21.1</v>
      </c>
      <c r="G26" s="76">
        <v>15.2</v>
      </c>
      <c r="H26" s="77">
        <v>23000</v>
      </c>
      <c r="I26" s="77">
        <v>320.7</v>
      </c>
      <c r="J26" s="76">
        <v>290.3</v>
      </c>
      <c r="K26" s="78" t="s">
        <v>108</v>
      </c>
      <c r="L26" s="76">
        <v>110</v>
      </c>
      <c r="M26" s="76">
        <v>272</v>
      </c>
      <c r="N26" s="77">
        <v>2.173</v>
      </c>
      <c r="O26" s="76">
        <v>12.06</v>
      </c>
      <c r="P26" s="77">
        <v>530400000</v>
      </c>
      <c r="Q26" s="76">
        <v>2923000</v>
      </c>
      <c r="R26" s="76">
        <v>3306000</v>
      </c>
      <c r="S26" s="76">
        <v>152</v>
      </c>
      <c r="T26" s="76">
        <v>8052</v>
      </c>
      <c r="U26" s="77">
        <v>191400000</v>
      </c>
      <c r="V26" s="76">
        <v>1011000</v>
      </c>
      <c r="W26" s="76">
        <v>1552000</v>
      </c>
      <c r="X26" s="76">
        <v>91.300000000000011</v>
      </c>
      <c r="Y26" s="77">
        <v>81.11</v>
      </c>
      <c r="Z26" s="76">
        <v>3872000</v>
      </c>
      <c r="AA26" s="76">
        <v>5583000000000</v>
      </c>
      <c r="AB26" s="109">
        <v>1</v>
      </c>
      <c r="AC26" s="76">
        <v>2</v>
      </c>
      <c r="AD26" s="76">
        <v>3</v>
      </c>
      <c r="AE26" s="77">
        <v>1</v>
      </c>
      <c r="AF26" s="76">
        <v>2</v>
      </c>
      <c r="AG26" s="76">
        <v>3</v>
      </c>
    </row>
    <row r="27" spans="1:33" ht="28.5" x14ac:dyDescent="0.45">
      <c r="A27" s="29" t="s">
        <v>337</v>
      </c>
      <c r="B27" s="27">
        <v>122</v>
      </c>
      <c r="C27" s="26">
        <v>348</v>
      </c>
      <c r="D27" s="27">
        <v>390</v>
      </c>
      <c r="E27" s="27">
        <v>14</v>
      </c>
      <c r="F27" s="27">
        <v>14</v>
      </c>
      <c r="G27" s="27">
        <v>15</v>
      </c>
      <c r="H27" s="26">
        <v>15600</v>
      </c>
      <c r="I27" s="26">
        <v>320</v>
      </c>
      <c r="J27" s="27">
        <v>290</v>
      </c>
      <c r="K27" s="28" t="s">
        <v>108</v>
      </c>
      <c r="L27" s="27">
        <v>102</v>
      </c>
      <c r="M27" s="27">
        <v>284</v>
      </c>
      <c r="N27" s="26">
        <v>2.202</v>
      </c>
      <c r="O27" s="27">
        <v>17.989999999999998</v>
      </c>
      <c r="P27" s="26">
        <v>347700000</v>
      </c>
      <c r="Q27" s="27">
        <v>1998000</v>
      </c>
      <c r="R27" s="27">
        <v>2212000</v>
      </c>
      <c r="S27" s="27">
        <v>149.30000000000001</v>
      </c>
      <c r="T27" s="27">
        <v>5289</v>
      </c>
      <c r="U27" s="26">
        <v>138500000</v>
      </c>
      <c r="V27" s="27">
        <v>710300</v>
      </c>
      <c r="W27" s="27">
        <v>1082000</v>
      </c>
      <c r="X27" s="27">
        <v>94.2</v>
      </c>
      <c r="Y27" s="26">
        <v>59.57</v>
      </c>
      <c r="Z27" s="27">
        <v>1187000</v>
      </c>
      <c r="AA27" s="27">
        <v>3860000000000</v>
      </c>
      <c r="AB27" s="102">
        <v>3</v>
      </c>
      <c r="AC27" s="27">
        <v>4</v>
      </c>
      <c r="AD27" s="27">
        <v>4</v>
      </c>
      <c r="AE27" s="26">
        <v>3</v>
      </c>
      <c r="AF27" s="27">
        <v>4</v>
      </c>
      <c r="AG27" s="27">
        <v>4</v>
      </c>
    </row>
    <row r="28" spans="1:33" ht="28.5" x14ac:dyDescent="0.45">
      <c r="A28" s="43" t="s">
        <v>338</v>
      </c>
      <c r="B28" s="31">
        <v>140</v>
      </c>
      <c r="C28" s="30">
        <v>352</v>
      </c>
      <c r="D28" s="31">
        <v>392</v>
      </c>
      <c r="E28" s="31">
        <v>16</v>
      </c>
      <c r="F28" s="31">
        <v>16</v>
      </c>
      <c r="G28" s="31">
        <v>15</v>
      </c>
      <c r="H28" s="30">
        <v>17900</v>
      </c>
      <c r="I28" s="30">
        <v>320</v>
      </c>
      <c r="J28" s="31">
        <v>290</v>
      </c>
      <c r="K28" s="32" t="s">
        <v>110</v>
      </c>
      <c r="L28" s="31">
        <v>104</v>
      </c>
      <c r="M28" s="31">
        <v>286</v>
      </c>
      <c r="N28" s="30">
        <v>2.214</v>
      </c>
      <c r="O28" s="31">
        <v>15.8</v>
      </c>
      <c r="P28" s="30">
        <v>402700000</v>
      </c>
      <c r="Q28" s="31">
        <v>2288000</v>
      </c>
      <c r="R28" s="31">
        <v>2547000</v>
      </c>
      <c r="S28" s="31">
        <v>150.19999999999999</v>
      </c>
      <c r="T28" s="31">
        <v>6049</v>
      </c>
      <c r="U28" s="30">
        <v>160800000</v>
      </c>
      <c r="V28" s="31">
        <v>820200</v>
      </c>
      <c r="W28" s="31">
        <v>1252000</v>
      </c>
      <c r="X28" s="31">
        <v>94.9</v>
      </c>
      <c r="Y28" s="30">
        <v>65.569999999999993</v>
      </c>
      <c r="Z28" s="31">
        <v>1753000</v>
      </c>
      <c r="AA28" s="31">
        <v>4534000000000</v>
      </c>
      <c r="AB28" s="103">
        <v>3</v>
      </c>
      <c r="AC28" s="31">
        <v>3</v>
      </c>
      <c r="AD28" s="31">
        <v>4</v>
      </c>
      <c r="AE28" s="30">
        <v>3</v>
      </c>
      <c r="AF28" s="31">
        <v>3</v>
      </c>
      <c r="AG28" s="31">
        <v>4</v>
      </c>
    </row>
    <row r="29" spans="1:33" ht="28.5" x14ac:dyDescent="0.45">
      <c r="A29" s="40" t="s">
        <v>339</v>
      </c>
      <c r="B29" s="36">
        <v>158</v>
      </c>
      <c r="C29" s="35">
        <v>356</v>
      </c>
      <c r="D29" s="36">
        <v>394</v>
      </c>
      <c r="E29" s="36">
        <v>18</v>
      </c>
      <c r="F29" s="36">
        <v>18</v>
      </c>
      <c r="G29" s="36">
        <v>15</v>
      </c>
      <c r="H29" s="35">
        <v>20100</v>
      </c>
      <c r="I29" s="35">
        <v>320</v>
      </c>
      <c r="J29" s="36">
        <v>290</v>
      </c>
      <c r="K29" s="37" t="s">
        <v>108</v>
      </c>
      <c r="L29" s="36">
        <v>106</v>
      </c>
      <c r="M29" s="36">
        <v>288</v>
      </c>
      <c r="N29" s="35">
        <v>2.226</v>
      </c>
      <c r="O29" s="36">
        <v>14.08</v>
      </c>
      <c r="P29" s="35">
        <v>459400000</v>
      </c>
      <c r="Q29" s="36">
        <v>2581000</v>
      </c>
      <c r="R29" s="36">
        <v>2888000</v>
      </c>
      <c r="S29" s="36">
        <v>151</v>
      </c>
      <c r="T29" s="36">
        <v>6817</v>
      </c>
      <c r="U29" s="35">
        <v>183700000</v>
      </c>
      <c r="V29" s="36">
        <v>932400</v>
      </c>
      <c r="W29" s="36">
        <v>1425000</v>
      </c>
      <c r="X29" s="36">
        <v>95.5</v>
      </c>
      <c r="Y29" s="35">
        <v>71.569999999999993</v>
      </c>
      <c r="Z29" s="36">
        <v>2480000</v>
      </c>
      <c r="AA29" s="36">
        <v>5241000000000</v>
      </c>
      <c r="AB29" s="106">
        <v>2</v>
      </c>
      <c r="AC29" s="36">
        <v>3</v>
      </c>
      <c r="AD29" s="36">
        <v>3</v>
      </c>
      <c r="AE29" s="35">
        <v>2</v>
      </c>
      <c r="AF29" s="36">
        <v>3</v>
      </c>
      <c r="AG29" s="36">
        <v>3</v>
      </c>
    </row>
    <row r="30" spans="1:33" ht="28.5" x14ac:dyDescent="0.45">
      <c r="A30" s="43" t="s">
        <v>340</v>
      </c>
      <c r="B30" s="31">
        <v>176</v>
      </c>
      <c r="C30" s="30">
        <v>360</v>
      </c>
      <c r="D30" s="31">
        <v>396</v>
      </c>
      <c r="E30" s="31">
        <v>20</v>
      </c>
      <c r="F30" s="31">
        <v>20</v>
      </c>
      <c r="G30" s="31">
        <v>15</v>
      </c>
      <c r="H30" s="30">
        <v>22400</v>
      </c>
      <c r="I30" s="30">
        <v>320</v>
      </c>
      <c r="J30" s="31">
        <v>290</v>
      </c>
      <c r="K30" s="32" t="s">
        <v>110</v>
      </c>
      <c r="L30" s="31">
        <v>108</v>
      </c>
      <c r="M30" s="31">
        <v>290</v>
      </c>
      <c r="N30" s="30">
        <v>2.238</v>
      </c>
      <c r="O30" s="31">
        <v>12.71</v>
      </c>
      <c r="P30" s="30">
        <v>517700000</v>
      </c>
      <c r="Q30" s="31">
        <v>2876000</v>
      </c>
      <c r="R30" s="31">
        <v>3235000</v>
      </c>
      <c r="S30" s="31">
        <v>151.9</v>
      </c>
      <c r="T30" s="31">
        <v>7593.0000000000009</v>
      </c>
      <c r="U30" s="30">
        <v>207200000</v>
      </c>
      <c r="V30" s="31">
        <v>1047000</v>
      </c>
      <c r="W30" s="31">
        <v>1603000</v>
      </c>
      <c r="X30" s="31">
        <v>96.1</v>
      </c>
      <c r="Y30" s="30">
        <v>77.569999999999993</v>
      </c>
      <c r="Z30" s="31">
        <v>3389000</v>
      </c>
      <c r="AA30" s="31">
        <v>5982000000000</v>
      </c>
      <c r="AB30" s="103">
        <v>1</v>
      </c>
      <c r="AC30" s="31">
        <v>3</v>
      </c>
      <c r="AD30" s="31">
        <v>3</v>
      </c>
      <c r="AE30" s="30">
        <v>1</v>
      </c>
      <c r="AF30" s="31">
        <v>3</v>
      </c>
      <c r="AG30" s="31">
        <v>3</v>
      </c>
    </row>
    <row r="31" spans="1:33" ht="28.5" x14ac:dyDescent="0.45">
      <c r="A31" s="40" t="s">
        <v>341</v>
      </c>
      <c r="B31" s="36">
        <v>194</v>
      </c>
      <c r="C31" s="35">
        <v>364</v>
      </c>
      <c r="D31" s="36">
        <v>398</v>
      </c>
      <c r="E31" s="36">
        <v>22</v>
      </c>
      <c r="F31" s="36">
        <v>22</v>
      </c>
      <c r="G31" s="36">
        <v>15</v>
      </c>
      <c r="H31" s="35">
        <v>24800</v>
      </c>
      <c r="I31" s="35">
        <v>320</v>
      </c>
      <c r="J31" s="36">
        <v>290</v>
      </c>
      <c r="K31" s="37" t="s">
        <v>108</v>
      </c>
      <c r="L31" s="36">
        <v>110</v>
      </c>
      <c r="M31" s="36">
        <v>292</v>
      </c>
      <c r="N31" s="35">
        <v>2.25</v>
      </c>
      <c r="O31" s="36">
        <v>11.58</v>
      </c>
      <c r="P31" s="35">
        <v>577600000</v>
      </c>
      <c r="Q31" s="36">
        <v>3174000</v>
      </c>
      <c r="R31" s="36">
        <v>3588000</v>
      </c>
      <c r="S31" s="36">
        <v>152.79999999999998</v>
      </c>
      <c r="T31" s="36">
        <v>8377</v>
      </c>
      <c r="U31" s="35">
        <v>231500000</v>
      </c>
      <c r="V31" s="36">
        <v>1163000</v>
      </c>
      <c r="W31" s="36">
        <v>1784000</v>
      </c>
      <c r="X31" s="36">
        <v>96.7</v>
      </c>
      <c r="Y31" s="35">
        <v>83.57</v>
      </c>
      <c r="Z31" s="36">
        <v>4502000</v>
      </c>
      <c r="AA31" s="36">
        <v>6759000000000</v>
      </c>
      <c r="AB31" s="106">
        <v>1</v>
      </c>
      <c r="AC31" s="36">
        <v>2</v>
      </c>
      <c r="AD31" s="36">
        <v>3</v>
      </c>
      <c r="AE31" s="35">
        <v>1</v>
      </c>
      <c r="AF31" s="36">
        <v>2</v>
      </c>
      <c r="AG31" s="36">
        <v>3</v>
      </c>
    </row>
    <row r="32" spans="1:33" ht="28.5" x14ac:dyDescent="0.45">
      <c r="A32" s="43" t="s">
        <v>342</v>
      </c>
      <c r="B32" s="31">
        <v>213</v>
      </c>
      <c r="C32" s="30">
        <v>368</v>
      </c>
      <c r="D32" s="31">
        <v>400</v>
      </c>
      <c r="E32" s="31">
        <v>24</v>
      </c>
      <c r="F32" s="31">
        <v>24</v>
      </c>
      <c r="G32" s="31">
        <v>15</v>
      </c>
      <c r="H32" s="30">
        <v>27100</v>
      </c>
      <c r="I32" s="30">
        <v>320</v>
      </c>
      <c r="J32" s="31">
        <v>290</v>
      </c>
      <c r="K32" s="32" t="s">
        <v>110</v>
      </c>
      <c r="L32" s="31">
        <v>112</v>
      </c>
      <c r="M32" s="31">
        <v>294</v>
      </c>
      <c r="N32" s="30">
        <v>2.262</v>
      </c>
      <c r="O32" s="31">
        <v>10.64</v>
      </c>
      <c r="P32" s="30">
        <v>639200000</v>
      </c>
      <c r="Q32" s="31">
        <v>3474000</v>
      </c>
      <c r="R32" s="31">
        <v>3947000</v>
      </c>
      <c r="S32" s="31">
        <v>153.69999999999999</v>
      </c>
      <c r="T32" s="31">
        <v>9169</v>
      </c>
      <c r="U32" s="30">
        <v>256400000</v>
      </c>
      <c r="V32" s="31">
        <v>1282000</v>
      </c>
      <c r="W32" s="31">
        <v>1969000</v>
      </c>
      <c r="X32" s="31">
        <v>97.300000000000011</v>
      </c>
      <c r="Y32" s="30">
        <v>89.57</v>
      </c>
      <c r="Z32" s="31">
        <v>5842000</v>
      </c>
      <c r="AA32" s="31">
        <v>7574000000000</v>
      </c>
      <c r="AB32" s="103">
        <v>1</v>
      </c>
      <c r="AC32" s="31">
        <v>1</v>
      </c>
      <c r="AD32" s="31">
        <v>3</v>
      </c>
      <c r="AE32" s="30">
        <v>1</v>
      </c>
      <c r="AF32" s="31">
        <v>1</v>
      </c>
      <c r="AG32" s="31">
        <v>3</v>
      </c>
    </row>
    <row r="33" spans="1:33" ht="28.5" x14ac:dyDescent="0.45">
      <c r="A33" s="75" t="s">
        <v>343</v>
      </c>
      <c r="B33" s="76">
        <v>231</v>
      </c>
      <c r="C33" s="77">
        <v>372</v>
      </c>
      <c r="D33" s="76">
        <v>402</v>
      </c>
      <c r="E33" s="76">
        <v>26</v>
      </c>
      <c r="F33" s="76">
        <v>26</v>
      </c>
      <c r="G33" s="76">
        <v>15</v>
      </c>
      <c r="H33" s="77">
        <v>29400</v>
      </c>
      <c r="I33" s="77">
        <v>320</v>
      </c>
      <c r="J33" s="76">
        <v>290</v>
      </c>
      <c r="K33" s="78" t="s">
        <v>108</v>
      </c>
      <c r="L33" s="76">
        <v>114</v>
      </c>
      <c r="M33" s="76">
        <v>296</v>
      </c>
      <c r="N33" s="77">
        <v>2.274</v>
      </c>
      <c r="O33" s="76">
        <v>9.8480000000000008</v>
      </c>
      <c r="P33" s="77">
        <v>702600000</v>
      </c>
      <c r="Q33" s="76">
        <v>3777000</v>
      </c>
      <c r="R33" s="76">
        <v>4312000</v>
      </c>
      <c r="S33" s="76">
        <v>154.5</v>
      </c>
      <c r="T33" s="76">
        <v>9969</v>
      </c>
      <c r="U33" s="77">
        <v>282000000</v>
      </c>
      <c r="V33" s="76">
        <v>1403000</v>
      </c>
      <c r="W33" s="76">
        <v>2158000</v>
      </c>
      <c r="X33" s="76">
        <v>97.899999999999991</v>
      </c>
      <c r="Y33" s="77">
        <v>95.57</v>
      </c>
      <c r="Z33" s="76">
        <v>7431000</v>
      </c>
      <c r="AA33" s="76">
        <v>8425000000000</v>
      </c>
      <c r="AB33" s="109">
        <v>1</v>
      </c>
      <c r="AC33" s="76">
        <v>1</v>
      </c>
      <c r="AD33" s="76">
        <v>2</v>
      </c>
      <c r="AE33" s="77">
        <v>1</v>
      </c>
      <c r="AF33" s="76">
        <v>1</v>
      </c>
      <c r="AG33" s="76">
        <v>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AG16"/>
  <sheetViews>
    <sheetView topLeftCell="V1" zoomScale="85" zoomScaleNormal="85" workbookViewId="0">
      <selection activeCell="AD2" sqref="AD2:AG2"/>
    </sheetView>
  </sheetViews>
  <sheetFormatPr baseColWidth="10" defaultColWidth="11.3984375" defaultRowHeight="14.25" x14ac:dyDescent="0.45"/>
  <cols>
    <col min="1" max="1" width="11" style="47" customWidth="1"/>
    <col min="2" max="2" width="8.59765625" style="47" bestFit="1" customWidth="1"/>
    <col min="3" max="4" width="9.59765625" style="47" bestFit="1" customWidth="1"/>
    <col min="5" max="7" width="8.59765625" style="47" bestFit="1" customWidth="1"/>
    <col min="8" max="8" width="11" style="47" bestFit="1" customWidth="1"/>
    <col min="9" max="10" width="9.59765625" style="47" bestFit="1" customWidth="1"/>
    <col min="11" max="11" width="4.86328125" style="47" bestFit="1" customWidth="1"/>
    <col min="12" max="13" width="8.59765625" style="47" bestFit="1" customWidth="1"/>
    <col min="14" max="14" width="9.1328125" style="47" bestFit="1" customWidth="1"/>
    <col min="15" max="15" width="8.59765625" style="47" bestFit="1" customWidth="1"/>
    <col min="16" max="16" width="16.73046875" style="47" bestFit="1" customWidth="1"/>
    <col min="17" max="18" width="14.59765625" style="47" bestFit="1" customWidth="1"/>
    <col min="19" max="19" width="9.59765625" style="47" bestFit="1" customWidth="1"/>
    <col min="20" max="20" width="11" style="47" bestFit="1" customWidth="1"/>
    <col min="21" max="21" width="15.59765625" style="47" bestFit="1" customWidth="1"/>
    <col min="22" max="23" width="13.1328125" style="47" bestFit="1" customWidth="1"/>
    <col min="24" max="25" width="8.59765625" style="47" bestFit="1" customWidth="1"/>
    <col min="26" max="26" width="13.1328125" style="47" bestFit="1" customWidth="1"/>
    <col min="27" max="27" width="20.265625" style="47" bestFit="1" customWidth="1"/>
    <col min="28" max="29" width="8.59765625" style="47" bestFit="1" customWidth="1"/>
    <col min="30" max="33" width="9.59765625" style="47" bestFit="1" customWidth="1"/>
    <col min="34" max="16384" width="11.3984375" style="47"/>
  </cols>
  <sheetData>
    <row r="1" spans="1:33" s="93" customFormat="1" ht="15.75" x14ac:dyDescent="0.45">
      <c r="A1" s="25" t="s">
        <v>1</v>
      </c>
      <c r="B1" s="25" t="s">
        <v>2</v>
      </c>
      <c r="C1" s="25" t="s">
        <v>3</v>
      </c>
      <c r="D1" s="25" t="s">
        <v>4</v>
      </c>
      <c r="E1" s="25" t="s">
        <v>116</v>
      </c>
      <c r="F1" s="25" t="s">
        <v>6</v>
      </c>
      <c r="G1" s="25" t="s">
        <v>7</v>
      </c>
      <c r="H1" s="25" t="s">
        <v>8</v>
      </c>
      <c r="I1" s="25" t="s">
        <v>9</v>
      </c>
      <c r="J1" s="25" t="s">
        <v>10</v>
      </c>
      <c r="K1" s="25" t="s">
        <v>117</v>
      </c>
      <c r="L1" s="25" t="s">
        <v>344</v>
      </c>
      <c r="M1" s="25" t="s">
        <v>345</v>
      </c>
      <c r="N1" s="25" t="s">
        <v>14</v>
      </c>
      <c r="O1" s="25" t="s">
        <v>15</v>
      </c>
      <c r="P1" s="25" t="s">
        <v>16</v>
      </c>
      <c r="Q1" s="25" t="s">
        <v>17</v>
      </c>
      <c r="R1" s="25" t="s">
        <v>18</v>
      </c>
      <c r="S1" s="25" t="s">
        <v>19</v>
      </c>
      <c r="T1" s="25" t="s">
        <v>20</v>
      </c>
      <c r="U1" s="25" t="s">
        <v>21</v>
      </c>
      <c r="V1" s="25" t="s">
        <v>22</v>
      </c>
      <c r="W1" s="25" t="s">
        <v>23</v>
      </c>
      <c r="X1" s="25" t="s">
        <v>24</v>
      </c>
      <c r="Y1" s="25" t="s">
        <v>25</v>
      </c>
      <c r="Z1" s="25" t="s">
        <v>26</v>
      </c>
      <c r="AA1" s="25" t="s">
        <v>27</v>
      </c>
      <c r="AB1" s="25" t="s">
        <v>346</v>
      </c>
      <c r="AC1" s="25" t="s">
        <v>347</v>
      </c>
      <c r="AD1" s="49" t="s">
        <v>28</v>
      </c>
      <c r="AE1" s="49" t="s">
        <v>29</v>
      </c>
      <c r="AF1" s="49" t="s">
        <v>28</v>
      </c>
      <c r="AG1" s="49" t="s">
        <v>29</v>
      </c>
    </row>
    <row r="2" spans="1:33" s="93" customFormat="1" ht="32.25" x14ac:dyDescent="0.45">
      <c r="A2" s="25" t="s">
        <v>731</v>
      </c>
      <c r="B2" s="25" t="s">
        <v>31</v>
      </c>
      <c r="C2" s="25" t="s">
        <v>32</v>
      </c>
      <c r="D2" s="25" t="s">
        <v>32</v>
      </c>
      <c r="E2" s="25" t="s">
        <v>32</v>
      </c>
      <c r="F2" s="25" t="s">
        <v>32</v>
      </c>
      <c r="G2" s="25" t="s">
        <v>32</v>
      </c>
      <c r="H2" s="25" t="s">
        <v>33</v>
      </c>
      <c r="I2" s="25" t="s">
        <v>32</v>
      </c>
      <c r="J2" s="25" t="s">
        <v>32</v>
      </c>
      <c r="K2" s="25"/>
      <c r="L2" s="25" t="s">
        <v>32</v>
      </c>
      <c r="M2" s="25" t="s">
        <v>32</v>
      </c>
      <c r="N2" s="25" t="s">
        <v>35</v>
      </c>
      <c r="O2" s="25" t="s">
        <v>36</v>
      </c>
      <c r="P2" s="25" t="s">
        <v>37</v>
      </c>
      <c r="Q2" s="25" t="s">
        <v>38</v>
      </c>
      <c r="R2" s="25" t="s">
        <v>38</v>
      </c>
      <c r="S2" s="25" t="s">
        <v>32</v>
      </c>
      <c r="T2" s="25" t="s">
        <v>33</v>
      </c>
      <c r="U2" s="25" t="s">
        <v>37</v>
      </c>
      <c r="V2" s="25" t="s">
        <v>38</v>
      </c>
      <c r="W2" s="25" t="s">
        <v>38</v>
      </c>
      <c r="X2" s="25" t="s">
        <v>32</v>
      </c>
      <c r="Y2" s="25" t="s">
        <v>32</v>
      </c>
      <c r="Z2" s="25" t="s">
        <v>37</v>
      </c>
      <c r="AA2" s="25" t="s">
        <v>39</v>
      </c>
      <c r="AB2" s="25" t="s">
        <v>32</v>
      </c>
      <c r="AC2" s="25" t="s">
        <v>32</v>
      </c>
      <c r="AD2" s="50" t="s">
        <v>732</v>
      </c>
      <c r="AE2" s="50" t="s">
        <v>732</v>
      </c>
      <c r="AF2" s="50" t="s">
        <v>733</v>
      </c>
      <c r="AG2" s="50" t="s">
        <v>733</v>
      </c>
    </row>
    <row r="3" spans="1:33" x14ac:dyDescent="0.45">
      <c r="A3" s="29" t="s">
        <v>348</v>
      </c>
      <c r="B3" s="27">
        <v>7.9</v>
      </c>
      <c r="C3" s="26">
        <v>80</v>
      </c>
      <c r="D3" s="27">
        <v>50</v>
      </c>
      <c r="E3" s="27">
        <v>4</v>
      </c>
      <c r="F3" s="27">
        <v>7</v>
      </c>
      <c r="G3" s="27">
        <v>10</v>
      </c>
      <c r="H3" s="26">
        <v>1010</v>
      </c>
      <c r="I3" s="26">
        <v>66</v>
      </c>
      <c r="J3" s="27">
        <v>46</v>
      </c>
      <c r="K3" s="28">
        <v>0</v>
      </c>
      <c r="L3" s="28">
        <v>0</v>
      </c>
      <c r="M3" s="28">
        <v>0</v>
      </c>
      <c r="N3" s="26">
        <v>0.34300000000000003</v>
      </c>
      <c r="O3" s="27">
        <v>43.45</v>
      </c>
      <c r="P3" s="26">
        <v>1070000</v>
      </c>
      <c r="Q3" s="27">
        <v>26800</v>
      </c>
      <c r="R3" s="27">
        <v>31200</v>
      </c>
      <c r="S3" s="27">
        <v>32.599999999999994</v>
      </c>
      <c r="T3" s="82">
        <v>405</v>
      </c>
      <c r="U3" s="26">
        <v>255000</v>
      </c>
      <c r="V3" s="81">
        <v>8000</v>
      </c>
      <c r="W3" s="27">
        <v>14300</v>
      </c>
      <c r="X3" s="27">
        <v>15.9</v>
      </c>
      <c r="Y3" s="26">
        <v>16.899999999999999</v>
      </c>
      <c r="Z3" s="27">
        <v>14700</v>
      </c>
      <c r="AA3" s="27">
        <v>220000000</v>
      </c>
      <c r="AB3" s="27">
        <v>18.2</v>
      </c>
      <c r="AC3" s="27">
        <v>37.1</v>
      </c>
      <c r="AD3" s="26">
        <v>1</v>
      </c>
      <c r="AE3" s="27">
        <v>1</v>
      </c>
      <c r="AF3" s="26">
        <v>1</v>
      </c>
      <c r="AG3" s="27">
        <v>1</v>
      </c>
    </row>
    <row r="4" spans="1:33" ht="28.5" x14ac:dyDescent="0.45">
      <c r="A4" s="40" t="s">
        <v>349</v>
      </c>
      <c r="B4" s="36">
        <v>9.82</v>
      </c>
      <c r="C4" s="35">
        <v>100</v>
      </c>
      <c r="D4" s="36">
        <v>55</v>
      </c>
      <c r="E4" s="36">
        <v>4.5</v>
      </c>
      <c r="F4" s="36">
        <v>7.5</v>
      </c>
      <c r="G4" s="36">
        <v>10</v>
      </c>
      <c r="H4" s="35">
        <v>1250</v>
      </c>
      <c r="I4" s="35">
        <v>85</v>
      </c>
      <c r="J4" s="36">
        <v>65</v>
      </c>
      <c r="K4" s="37" t="s">
        <v>68</v>
      </c>
      <c r="L4" s="36">
        <v>35</v>
      </c>
      <c r="M4" s="36">
        <v>36</v>
      </c>
      <c r="N4" s="35">
        <v>0.40200000000000002</v>
      </c>
      <c r="O4" s="36">
        <v>41</v>
      </c>
      <c r="P4" s="35">
        <v>2070000</v>
      </c>
      <c r="Q4" s="36">
        <v>41400</v>
      </c>
      <c r="R4" s="36">
        <v>48000</v>
      </c>
      <c r="S4" s="36">
        <v>40.700000000000003</v>
      </c>
      <c r="T4" s="86">
        <v>534</v>
      </c>
      <c r="U4" s="35">
        <v>383000</v>
      </c>
      <c r="V4" s="85">
        <v>10600</v>
      </c>
      <c r="W4" s="36">
        <v>19300</v>
      </c>
      <c r="X4" s="36">
        <v>17.5</v>
      </c>
      <c r="Y4" s="35">
        <v>17.899999999999999</v>
      </c>
      <c r="Z4" s="36">
        <v>20099.999999999996</v>
      </c>
      <c r="AA4" s="36">
        <v>530000000</v>
      </c>
      <c r="AB4" s="36">
        <v>19.099999999999998</v>
      </c>
      <c r="AC4" s="36">
        <v>39.300000000000004</v>
      </c>
      <c r="AD4" s="35">
        <v>1</v>
      </c>
      <c r="AE4" s="36">
        <v>1</v>
      </c>
      <c r="AF4" s="35">
        <v>1</v>
      </c>
      <c r="AG4" s="36">
        <v>1</v>
      </c>
    </row>
    <row r="5" spans="1:33" ht="28.5" x14ac:dyDescent="0.45">
      <c r="A5" s="43" t="s">
        <v>350</v>
      </c>
      <c r="B5" s="31">
        <v>12.1</v>
      </c>
      <c r="C5" s="30">
        <v>120</v>
      </c>
      <c r="D5" s="31">
        <v>60</v>
      </c>
      <c r="E5" s="31">
        <v>5</v>
      </c>
      <c r="F5" s="31">
        <v>8</v>
      </c>
      <c r="G5" s="31">
        <v>12</v>
      </c>
      <c r="H5" s="30">
        <v>1540</v>
      </c>
      <c r="I5" s="30">
        <v>104</v>
      </c>
      <c r="J5" s="31">
        <v>80</v>
      </c>
      <c r="K5" s="32" t="s">
        <v>70</v>
      </c>
      <c r="L5" s="31">
        <v>35</v>
      </c>
      <c r="M5" s="31">
        <v>41</v>
      </c>
      <c r="N5" s="30">
        <v>0.46</v>
      </c>
      <c r="O5" s="31">
        <v>37.979999999999997</v>
      </c>
      <c r="P5" s="30">
        <v>3640000</v>
      </c>
      <c r="Q5" s="31">
        <v>60600</v>
      </c>
      <c r="R5" s="31">
        <v>70300</v>
      </c>
      <c r="S5" s="31">
        <v>48.6</v>
      </c>
      <c r="T5" s="84">
        <v>718</v>
      </c>
      <c r="U5" s="30">
        <v>555000</v>
      </c>
      <c r="V5" s="83">
        <v>13800</v>
      </c>
      <c r="W5" s="31">
        <v>25300</v>
      </c>
      <c r="X5" s="31">
        <v>19</v>
      </c>
      <c r="Y5" s="30">
        <v>20</v>
      </c>
      <c r="Z5" s="31">
        <v>29000</v>
      </c>
      <c r="AA5" s="31">
        <v>1120000000</v>
      </c>
      <c r="AB5" s="31">
        <v>19.8</v>
      </c>
      <c r="AC5" s="31">
        <v>41.2</v>
      </c>
      <c r="AD5" s="30">
        <v>1</v>
      </c>
      <c r="AE5" s="31">
        <v>1</v>
      </c>
      <c r="AF5" s="30">
        <v>1</v>
      </c>
      <c r="AG5" s="31">
        <v>1</v>
      </c>
    </row>
    <row r="6" spans="1:33" ht="28.5" x14ac:dyDescent="0.45">
      <c r="A6" s="40" t="s">
        <v>351</v>
      </c>
      <c r="B6" s="36">
        <v>14.5</v>
      </c>
      <c r="C6" s="35">
        <v>140</v>
      </c>
      <c r="D6" s="36">
        <v>65</v>
      </c>
      <c r="E6" s="36">
        <v>5</v>
      </c>
      <c r="F6" s="36">
        <v>9</v>
      </c>
      <c r="G6" s="36">
        <v>12</v>
      </c>
      <c r="H6" s="35">
        <v>1839.9999999999998</v>
      </c>
      <c r="I6" s="35">
        <v>122</v>
      </c>
      <c r="J6" s="36">
        <v>98</v>
      </c>
      <c r="K6" s="37" t="s">
        <v>80</v>
      </c>
      <c r="L6" s="36">
        <v>35</v>
      </c>
      <c r="M6" s="36">
        <v>38</v>
      </c>
      <c r="N6" s="35">
        <v>0.52</v>
      </c>
      <c r="O6" s="36">
        <v>35.950000000000003</v>
      </c>
      <c r="P6" s="35">
        <v>6000000</v>
      </c>
      <c r="Q6" s="36">
        <v>85600</v>
      </c>
      <c r="R6" s="36">
        <v>98800</v>
      </c>
      <c r="S6" s="36">
        <v>57.1</v>
      </c>
      <c r="T6" s="86">
        <v>825</v>
      </c>
      <c r="U6" s="35">
        <v>788000</v>
      </c>
      <c r="V6" s="85">
        <v>18200</v>
      </c>
      <c r="W6" s="36">
        <v>33200</v>
      </c>
      <c r="X6" s="36">
        <v>20.7</v>
      </c>
      <c r="Y6" s="35">
        <v>21</v>
      </c>
      <c r="Z6" s="36">
        <v>40500</v>
      </c>
      <c r="AA6" s="36">
        <v>2200000000</v>
      </c>
      <c r="AB6" s="36">
        <v>21.7</v>
      </c>
      <c r="AC6" s="36">
        <v>45.4</v>
      </c>
      <c r="AD6" s="35">
        <v>1</v>
      </c>
      <c r="AE6" s="36">
        <v>1</v>
      </c>
      <c r="AF6" s="35">
        <v>1</v>
      </c>
      <c r="AG6" s="36">
        <v>1</v>
      </c>
    </row>
    <row r="7" spans="1:33" ht="28.5" x14ac:dyDescent="0.45">
      <c r="A7" s="43" t="s">
        <v>352</v>
      </c>
      <c r="B7" s="31">
        <v>17</v>
      </c>
      <c r="C7" s="30">
        <v>160</v>
      </c>
      <c r="D7" s="31">
        <v>70</v>
      </c>
      <c r="E7" s="31">
        <v>5.5</v>
      </c>
      <c r="F7" s="31">
        <v>9.5</v>
      </c>
      <c r="G7" s="31">
        <v>12</v>
      </c>
      <c r="H7" s="30">
        <v>2170</v>
      </c>
      <c r="I7" s="30">
        <v>141</v>
      </c>
      <c r="J7" s="31">
        <v>117</v>
      </c>
      <c r="K7" s="32" t="s">
        <v>78</v>
      </c>
      <c r="L7" s="31">
        <v>36</v>
      </c>
      <c r="M7" s="31">
        <v>43</v>
      </c>
      <c r="N7" s="30">
        <v>0.57899999999999996</v>
      </c>
      <c r="O7" s="31">
        <v>34.01</v>
      </c>
      <c r="P7" s="30">
        <v>9110000</v>
      </c>
      <c r="Q7" s="31">
        <v>114000</v>
      </c>
      <c r="R7" s="31">
        <v>132000</v>
      </c>
      <c r="S7" s="31">
        <v>64.800000000000011</v>
      </c>
      <c r="T7" s="84">
        <v>1000</v>
      </c>
      <c r="U7" s="30">
        <v>1070000</v>
      </c>
      <c r="V7" s="83">
        <v>22600</v>
      </c>
      <c r="W7" s="31">
        <v>41500</v>
      </c>
      <c r="X7" s="31">
        <v>22.200000000000003</v>
      </c>
      <c r="Y7" s="30">
        <v>22</v>
      </c>
      <c r="Z7" s="31">
        <v>52000</v>
      </c>
      <c r="AA7" s="31">
        <v>3960000000</v>
      </c>
      <c r="AB7" s="31">
        <v>22.7</v>
      </c>
      <c r="AC7" s="31">
        <v>47.599999999999994</v>
      </c>
      <c r="AD7" s="30">
        <v>1</v>
      </c>
      <c r="AE7" s="31">
        <v>1</v>
      </c>
      <c r="AF7" s="30">
        <v>1</v>
      </c>
      <c r="AG7" s="31">
        <v>1</v>
      </c>
    </row>
    <row r="8" spans="1:33" ht="28.5" x14ac:dyDescent="0.45">
      <c r="A8" s="40" t="s">
        <v>353</v>
      </c>
      <c r="B8" s="36">
        <v>19.7</v>
      </c>
      <c r="C8" s="35">
        <v>180</v>
      </c>
      <c r="D8" s="36">
        <v>75</v>
      </c>
      <c r="E8" s="36">
        <v>5.5</v>
      </c>
      <c r="F8" s="36">
        <v>10.5</v>
      </c>
      <c r="G8" s="36">
        <v>12</v>
      </c>
      <c r="H8" s="35">
        <v>2510</v>
      </c>
      <c r="I8" s="35">
        <v>159</v>
      </c>
      <c r="J8" s="36">
        <v>135</v>
      </c>
      <c r="K8" s="37" t="s">
        <v>80</v>
      </c>
      <c r="L8" s="36">
        <v>36</v>
      </c>
      <c r="M8" s="36">
        <v>48</v>
      </c>
      <c r="N8" s="35">
        <v>0.63900000000000001</v>
      </c>
      <c r="O8" s="36">
        <v>32.4</v>
      </c>
      <c r="P8" s="35">
        <v>13500000</v>
      </c>
      <c r="Q8" s="36">
        <v>150000</v>
      </c>
      <c r="R8" s="36">
        <v>173000</v>
      </c>
      <c r="S8" s="36">
        <v>73.400000000000006</v>
      </c>
      <c r="T8" s="86">
        <v>1120</v>
      </c>
      <c r="U8" s="35">
        <v>1440000</v>
      </c>
      <c r="V8" s="85">
        <v>28600</v>
      </c>
      <c r="W8" s="36">
        <v>52300</v>
      </c>
      <c r="X8" s="36">
        <v>23.900000000000002</v>
      </c>
      <c r="Y8" s="35">
        <v>23</v>
      </c>
      <c r="Z8" s="36">
        <v>69900</v>
      </c>
      <c r="AA8" s="36">
        <v>6810000000</v>
      </c>
      <c r="AB8" s="36">
        <v>24.700000000000003</v>
      </c>
      <c r="AC8" s="36">
        <v>51.900000000000006</v>
      </c>
      <c r="AD8" s="35">
        <v>1</v>
      </c>
      <c r="AE8" s="36">
        <v>1</v>
      </c>
      <c r="AF8" s="35">
        <v>1</v>
      </c>
      <c r="AG8" s="36">
        <v>1</v>
      </c>
    </row>
    <row r="9" spans="1:33" ht="28.5" x14ac:dyDescent="0.45">
      <c r="A9" s="40" t="s">
        <v>354</v>
      </c>
      <c r="B9" s="36">
        <v>22.8</v>
      </c>
      <c r="C9" s="35">
        <v>200</v>
      </c>
      <c r="D9" s="36">
        <v>80</v>
      </c>
      <c r="E9" s="36">
        <v>6</v>
      </c>
      <c r="F9" s="36">
        <v>11</v>
      </c>
      <c r="G9" s="36">
        <v>13</v>
      </c>
      <c r="H9" s="35">
        <v>2900</v>
      </c>
      <c r="I9" s="35">
        <v>178</v>
      </c>
      <c r="J9" s="36">
        <v>152</v>
      </c>
      <c r="K9" s="37" t="s">
        <v>137</v>
      </c>
      <c r="L9" s="36">
        <v>46</v>
      </c>
      <c r="M9" s="36">
        <v>47</v>
      </c>
      <c r="N9" s="35">
        <v>0.69699999999999995</v>
      </c>
      <c r="O9" s="36">
        <v>30.6</v>
      </c>
      <c r="P9" s="35">
        <v>19100000</v>
      </c>
      <c r="Q9" s="36">
        <v>191000</v>
      </c>
      <c r="R9" s="36">
        <v>220000</v>
      </c>
      <c r="S9" s="36">
        <v>81.099999999999994</v>
      </c>
      <c r="T9" s="86">
        <v>1350</v>
      </c>
      <c r="U9" s="35">
        <v>1870000</v>
      </c>
      <c r="V9" s="85">
        <v>34500</v>
      </c>
      <c r="W9" s="36">
        <v>63300</v>
      </c>
      <c r="X9" s="36">
        <v>25.4</v>
      </c>
      <c r="Y9" s="35">
        <v>24.6</v>
      </c>
      <c r="Z9" s="36">
        <v>88900</v>
      </c>
      <c r="AA9" s="36">
        <v>11000000000</v>
      </c>
      <c r="AB9" s="36">
        <v>25.6</v>
      </c>
      <c r="AC9" s="36">
        <v>54.1</v>
      </c>
      <c r="AD9" s="35">
        <v>1</v>
      </c>
      <c r="AE9" s="36">
        <v>1</v>
      </c>
      <c r="AF9" s="35">
        <v>1</v>
      </c>
      <c r="AG9" s="36">
        <v>1</v>
      </c>
    </row>
    <row r="10" spans="1:33" ht="28.5" x14ac:dyDescent="0.45">
      <c r="A10" s="43" t="s">
        <v>355</v>
      </c>
      <c r="B10" s="31">
        <v>26.6</v>
      </c>
      <c r="C10" s="30">
        <v>220</v>
      </c>
      <c r="D10" s="31">
        <v>85</v>
      </c>
      <c r="E10" s="31">
        <v>6.5</v>
      </c>
      <c r="F10" s="31">
        <v>12</v>
      </c>
      <c r="G10" s="31">
        <v>13</v>
      </c>
      <c r="H10" s="30">
        <v>3390</v>
      </c>
      <c r="I10" s="30">
        <v>196</v>
      </c>
      <c r="J10" s="31">
        <v>170</v>
      </c>
      <c r="K10" s="32" t="s">
        <v>89</v>
      </c>
      <c r="L10" s="31">
        <v>47</v>
      </c>
      <c r="M10" s="31">
        <v>49</v>
      </c>
      <c r="N10" s="30">
        <v>0.75600000000000001</v>
      </c>
      <c r="O10" s="31">
        <v>28.43</v>
      </c>
      <c r="P10" s="30">
        <v>26800000</v>
      </c>
      <c r="Q10" s="31">
        <v>244000</v>
      </c>
      <c r="R10" s="31">
        <v>281000</v>
      </c>
      <c r="S10" s="31">
        <v>89</v>
      </c>
      <c r="T10" s="84">
        <v>1580</v>
      </c>
      <c r="U10" s="30">
        <v>2470000</v>
      </c>
      <c r="V10" s="83">
        <v>42500</v>
      </c>
      <c r="W10" s="31">
        <v>78200</v>
      </c>
      <c r="X10" s="31">
        <v>27</v>
      </c>
      <c r="Y10" s="30">
        <v>26.1</v>
      </c>
      <c r="Z10" s="31">
        <v>121000</v>
      </c>
      <c r="AA10" s="31">
        <v>17600000000</v>
      </c>
      <c r="AB10" s="31">
        <v>27</v>
      </c>
      <c r="AC10" s="31">
        <v>57</v>
      </c>
      <c r="AD10" s="30">
        <v>1</v>
      </c>
      <c r="AE10" s="31">
        <v>1</v>
      </c>
      <c r="AF10" s="30">
        <v>1</v>
      </c>
      <c r="AG10" s="31">
        <v>1</v>
      </c>
    </row>
    <row r="11" spans="1:33" ht="28.5" x14ac:dyDescent="0.45">
      <c r="A11" s="40" t="s">
        <v>356</v>
      </c>
      <c r="B11" s="36">
        <v>30.2</v>
      </c>
      <c r="C11" s="35">
        <v>240</v>
      </c>
      <c r="D11" s="36">
        <v>90</v>
      </c>
      <c r="E11" s="36">
        <v>7</v>
      </c>
      <c r="F11" s="36">
        <v>12.5</v>
      </c>
      <c r="G11" s="36">
        <v>15</v>
      </c>
      <c r="H11" s="35">
        <v>3850</v>
      </c>
      <c r="I11" s="35">
        <v>215</v>
      </c>
      <c r="J11" s="36">
        <v>185</v>
      </c>
      <c r="K11" s="37" t="s">
        <v>99</v>
      </c>
      <c r="L11" s="36">
        <v>47</v>
      </c>
      <c r="M11" s="36">
        <v>51</v>
      </c>
      <c r="N11" s="35">
        <v>0.81299999999999994</v>
      </c>
      <c r="O11" s="36">
        <v>26.89</v>
      </c>
      <c r="P11" s="35">
        <v>36000000</v>
      </c>
      <c r="Q11" s="36">
        <v>300000</v>
      </c>
      <c r="R11" s="36">
        <v>347000</v>
      </c>
      <c r="S11" s="36">
        <v>96.7</v>
      </c>
      <c r="T11" s="86">
        <v>1880</v>
      </c>
      <c r="U11" s="35">
        <v>3110000</v>
      </c>
      <c r="V11" s="85">
        <v>50100</v>
      </c>
      <c r="W11" s="36">
        <v>92200</v>
      </c>
      <c r="X11" s="36">
        <v>28.4</v>
      </c>
      <c r="Y11" s="35">
        <v>28.3</v>
      </c>
      <c r="Z11" s="36">
        <v>151000</v>
      </c>
      <c r="AA11" s="36">
        <v>26400000000</v>
      </c>
      <c r="AB11" s="36">
        <v>27.9</v>
      </c>
      <c r="AC11" s="36">
        <v>59.1</v>
      </c>
      <c r="AD11" s="35">
        <v>1</v>
      </c>
      <c r="AE11" s="36">
        <v>1</v>
      </c>
      <c r="AF11" s="35">
        <v>1</v>
      </c>
      <c r="AG11" s="36">
        <v>1</v>
      </c>
    </row>
    <row r="12" spans="1:33" ht="28.5" x14ac:dyDescent="0.45">
      <c r="A12" s="43" t="s">
        <v>357</v>
      </c>
      <c r="B12" s="31">
        <v>35.200000000000003</v>
      </c>
      <c r="C12" s="30">
        <v>270</v>
      </c>
      <c r="D12" s="31">
        <v>95</v>
      </c>
      <c r="E12" s="31">
        <v>7.5</v>
      </c>
      <c r="F12" s="31">
        <v>13.5</v>
      </c>
      <c r="G12" s="31">
        <v>15</v>
      </c>
      <c r="H12" s="30">
        <v>4480</v>
      </c>
      <c r="I12" s="30">
        <v>243</v>
      </c>
      <c r="J12" s="31">
        <v>213</v>
      </c>
      <c r="K12" s="32" t="s">
        <v>110</v>
      </c>
      <c r="L12" s="31">
        <v>48</v>
      </c>
      <c r="M12" s="31">
        <v>50</v>
      </c>
      <c r="N12" s="30">
        <v>0.89200000000000002</v>
      </c>
      <c r="O12" s="31">
        <v>25.34</v>
      </c>
      <c r="P12" s="30">
        <v>52500000</v>
      </c>
      <c r="Q12" s="31">
        <v>389000</v>
      </c>
      <c r="R12" s="31">
        <v>451000</v>
      </c>
      <c r="S12" s="31">
        <v>108</v>
      </c>
      <c r="T12" s="84">
        <v>2220</v>
      </c>
      <c r="U12" s="30">
        <v>4010000</v>
      </c>
      <c r="V12" s="83">
        <v>60700</v>
      </c>
      <c r="W12" s="31">
        <v>112000</v>
      </c>
      <c r="X12" s="31">
        <v>29.900000000000002</v>
      </c>
      <c r="Y12" s="30">
        <v>29.8</v>
      </c>
      <c r="Z12" s="31">
        <v>199000</v>
      </c>
      <c r="AA12" s="31">
        <v>43600000000</v>
      </c>
      <c r="AB12" s="31">
        <v>28.900000000000002</v>
      </c>
      <c r="AC12" s="31">
        <v>61.4</v>
      </c>
      <c r="AD12" s="30">
        <v>1</v>
      </c>
      <c r="AE12" s="31">
        <v>1</v>
      </c>
      <c r="AF12" s="30">
        <v>1</v>
      </c>
      <c r="AG12" s="31">
        <v>2</v>
      </c>
    </row>
    <row r="13" spans="1:33" ht="28.5" x14ac:dyDescent="0.45">
      <c r="A13" s="43" t="s">
        <v>358</v>
      </c>
      <c r="B13" s="31">
        <v>44.4</v>
      </c>
      <c r="C13" s="30">
        <v>300</v>
      </c>
      <c r="D13" s="31">
        <v>100</v>
      </c>
      <c r="E13" s="31">
        <v>9.5</v>
      </c>
      <c r="F13" s="31">
        <v>15</v>
      </c>
      <c r="G13" s="31">
        <v>15</v>
      </c>
      <c r="H13" s="30">
        <v>5660</v>
      </c>
      <c r="I13" s="30">
        <v>270</v>
      </c>
      <c r="J13" s="31">
        <v>240</v>
      </c>
      <c r="K13" s="32" t="s">
        <v>110</v>
      </c>
      <c r="L13" s="31">
        <v>50</v>
      </c>
      <c r="M13" s="31">
        <v>55</v>
      </c>
      <c r="N13" s="30">
        <v>0.96799999999999997</v>
      </c>
      <c r="O13" s="31">
        <v>21.78</v>
      </c>
      <c r="P13" s="30">
        <v>78200000</v>
      </c>
      <c r="Q13" s="31">
        <v>522000</v>
      </c>
      <c r="R13" s="31">
        <v>613000</v>
      </c>
      <c r="S13" s="31">
        <v>118</v>
      </c>
      <c r="T13" s="84">
        <v>3030</v>
      </c>
      <c r="U13" s="30">
        <v>5380000</v>
      </c>
      <c r="V13" s="83">
        <v>75600</v>
      </c>
      <c r="W13" s="31">
        <v>137000</v>
      </c>
      <c r="X13" s="31">
        <v>30.8</v>
      </c>
      <c r="Y13" s="30">
        <v>33.299999999999997</v>
      </c>
      <c r="Z13" s="31">
        <v>315000</v>
      </c>
      <c r="AA13" s="31">
        <v>72700000000</v>
      </c>
      <c r="AB13" s="31">
        <v>28.900000000000002</v>
      </c>
      <c r="AC13" s="31">
        <v>60.300000000000004</v>
      </c>
      <c r="AD13" s="30">
        <v>1</v>
      </c>
      <c r="AE13" s="31">
        <v>1</v>
      </c>
      <c r="AF13" s="30">
        <v>1</v>
      </c>
      <c r="AG13" s="31">
        <v>1</v>
      </c>
    </row>
    <row r="14" spans="1:33" ht="28.5" x14ac:dyDescent="0.45">
      <c r="A14" s="40" t="s">
        <v>359</v>
      </c>
      <c r="B14" s="36">
        <v>53.2</v>
      </c>
      <c r="C14" s="35">
        <v>330</v>
      </c>
      <c r="D14" s="36">
        <v>105</v>
      </c>
      <c r="E14" s="36">
        <v>11</v>
      </c>
      <c r="F14" s="36">
        <v>16</v>
      </c>
      <c r="G14" s="36">
        <v>18</v>
      </c>
      <c r="H14" s="35">
        <v>6780</v>
      </c>
      <c r="I14" s="35">
        <v>298</v>
      </c>
      <c r="J14" s="36">
        <v>262</v>
      </c>
      <c r="K14" s="37" t="s">
        <v>108</v>
      </c>
      <c r="L14" s="36">
        <v>54</v>
      </c>
      <c r="M14" s="36">
        <v>60</v>
      </c>
      <c r="N14" s="35">
        <v>1.0429999999999999</v>
      </c>
      <c r="O14" s="36">
        <v>19.600000000000001</v>
      </c>
      <c r="P14" s="35">
        <v>110100000</v>
      </c>
      <c r="Q14" s="36">
        <v>667000</v>
      </c>
      <c r="R14" s="36">
        <v>792000</v>
      </c>
      <c r="S14" s="36">
        <v>127</v>
      </c>
      <c r="T14" s="86">
        <v>3879.9999999999995</v>
      </c>
      <c r="U14" s="35">
        <v>6810000</v>
      </c>
      <c r="V14" s="85">
        <v>89700</v>
      </c>
      <c r="W14" s="36">
        <v>156000</v>
      </c>
      <c r="X14" s="36">
        <v>31.7</v>
      </c>
      <c r="Y14" s="35">
        <v>37.5</v>
      </c>
      <c r="Z14" s="36">
        <v>452000</v>
      </c>
      <c r="AA14" s="36">
        <v>112000000000</v>
      </c>
      <c r="AB14" s="36">
        <v>29</v>
      </c>
      <c r="AC14" s="36">
        <v>60</v>
      </c>
      <c r="AD14" s="35">
        <v>1</v>
      </c>
      <c r="AE14" s="36">
        <v>1</v>
      </c>
      <c r="AF14" s="35">
        <v>1</v>
      </c>
      <c r="AG14" s="36">
        <v>1</v>
      </c>
    </row>
    <row r="15" spans="1:33" ht="28.5" x14ac:dyDescent="0.45">
      <c r="A15" s="43" t="s">
        <v>360</v>
      </c>
      <c r="B15" s="31">
        <v>61.2</v>
      </c>
      <c r="C15" s="30">
        <v>360</v>
      </c>
      <c r="D15" s="31">
        <v>110</v>
      </c>
      <c r="E15" s="31">
        <v>12</v>
      </c>
      <c r="F15" s="31">
        <v>17</v>
      </c>
      <c r="G15" s="31">
        <v>18</v>
      </c>
      <c r="H15" s="30">
        <v>7790.0000000000009</v>
      </c>
      <c r="I15" s="30">
        <v>326</v>
      </c>
      <c r="J15" s="31">
        <v>290</v>
      </c>
      <c r="K15" s="32" t="s">
        <v>110</v>
      </c>
      <c r="L15" s="31">
        <v>55</v>
      </c>
      <c r="M15" s="31">
        <v>65</v>
      </c>
      <c r="N15" s="30">
        <v>1.121</v>
      </c>
      <c r="O15" s="31">
        <v>18.32</v>
      </c>
      <c r="P15" s="30">
        <v>148300000</v>
      </c>
      <c r="Q15" s="31">
        <v>824000</v>
      </c>
      <c r="R15" s="31">
        <v>982000</v>
      </c>
      <c r="S15" s="31">
        <v>138</v>
      </c>
      <c r="T15" s="84">
        <v>4560</v>
      </c>
      <c r="U15" s="30">
        <v>8440000</v>
      </c>
      <c r="V15" s="83">
        <v>105000</v>
      </c>
      <c r="W15" s="31">
        <v>178000</v>
      </c>
      <c r="X15" s="31">
        <v>32.9</v>
      </c>
      <c r="Y15" s="30">
        <v>39.5</v>
      </c>
      <c r="Z15" s="31">
        <v>585000</v>
      </c>
      <c r="AA15" s="31">
        <v>166000000000</v>
      </c>
      <c r="AB15" s="31">
        <v>29.700000000000003</v>
      </c>
      <c r="AC15" s="31">
        <v>61.2</v>
      </c>
      <c r="AD15" s="30">
        <v>1</v>
      </c>
      <c r="AE15" s="31">
        <v>1</v>
      </c>
      <c r="AF15" s="30">
        <v>1</v>
      </c>
      <c r="AG15" s="31">
        <v>1</v>
      </c>
    </row>
    <row r="16" spans="1:33" ht="28.5" x14ac:dyDescent="0.45">
      <c r="A16" s="75" t="s">
        <v>361</v>
      </c>
      <c r="B16" s="76">
        <v>72.2</v>
      </c>
      <c r="C16" s="77">
        <v>400</v>
      </c>
      <c r="D16" s="76">
        <v>115</v>
      </c>
      <c r="E16" s="76">
        <v>13.5</v>
      </c>
      <c r="F16" s="76">
        <v>18</v>
      </c>
      <c r="G16" s="76">
        <v>18</v>
      </c>
      <c r="H16" s="77">
        <v>9190</v>
      </c>
      <c r="I16" s="77">
        <v>364</v>
      </c>
      <c r="J16" s="76">
        <v>328</v>
      </c>
      <c r="K16" s="78" t="s">
        <v>108</v>
      </c>
      <c r="L16" s="76">
        <v>57</v>
      </c>
      <c r="M16" s="76">
        <v>70</v>
      </c>
      <c r="N16" s="77">
        <v>1.218</v>
      </c>
      <c r="O16" s="76">
        <v>16.87</v>
      </c>
      <c r="P16" s="77">
        <v>209800000</v>
      </c>
      <c r="Q16" s="76">
        <v>1050000</v>
      </c>
      <c r="R16" s="76">
        <v>1260000</v>
      </c>
      <c r="S16" s="76">
        <v>151</v>
      </c>
      <c r="T16" s="88">
        <v>5620</v>
      </c>
      <c r="U16" s="77">
        <v>10450000</v>
      </c>
      <c r="V16" s="87">
        <v>123000</v>
      </c>
      <c r="W16" s="76">
        <v>191000</v>
      </c>
      <c r="X16" s="76">
        <v>33.700000000000003</v>
      </c>
      <c r="Y16" s="77">
        <v>42</v>
      </c>
      <c r="Z16" s="76">
        <v>791000</v>
      </c>
      <c r="AA16" s="76">
        <v>259000000000</v>
      </c>
      <c r="AB16" s="76">
        <v>29.8</v>
      </c>
      <c r="AC16" s="76">
        <v>60.599999999999994</v>
      </c>
      <c r="AD16" s="77">
        <v>1</v>
      </c>
      <c r="AE16" s="76">
        <v>1</v>
      </c>
      <c r="AF16" s="77">
        <v>1</v>
      </c>
      <c r="AG16" s="7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A1:AG20"/>
  <sheetViews>
    <sheetView topLeftCell="AA1" workbookViewId="0">
      <selection activeCell="AD2" sqref="AD2:AG2"/>
    </sheetView>
  </sheetViews>
  <sheetFormatPr baseColWidth="10" defaultColWidth="11.3984375" defaultRowHeight="14.25" x14ac:dyDescent="0.45"/>
  <cols>
    <col min="1" max="1" width="9.73046875" style="51" bestFit="1" customWidth="1"/>
    <col min="2" max="2" width="8.3984375" style="51" bestFit="1" customWidth="1"/>
    <col min="3" max="4" width="9.3984375" style="51" bestFit="1" customWidth="1"/>
    <col min="5" max="7" width="8.3984375" style="51" bestFit="1" customWidth="1"/>
    <col min="8" max="8" width="8.265625" style="51" bestFit="1" customWidth="1"/>
    <col min="9" max="9" width="10.86328125" style="51" bestFit="1" customWidth="1"/>
    <col min="10" max="10" width="9.3984375" style="51" bestFit="1" customWidth="1"/>
    <col min="11" max="11" width="5.59765625" style="51" bestFit="1" customWidth="1"/>
    <col min="12" max="13" width="8.3984375" style="51" bestFit="1" customWidth="1"/>
    <col min="14" max="14" width="9.1328125" style="51" bestFit="1" customWidth="1"/>
    <col min="15" max="15" width="8.3984375" style="51" bestFit="1" customWidth="1"/>
    <col min="16" max="16" width="16.3984375" style="51" bestFit="1" customWidth="1"/>
    <col min="17" max="18" width="14.265625" style="51" bestFit="1" customWidth="1"/>
    <col min="19" max="19" width="9.3984375" style="51" bestFit="1" customWidth="1"/>
    <col min="20" max="20" width="10.86328125" style="51" bestFit="1" customWidth="1"/>
    <col min="21" max="21" width="14.265625" style="51" bestFit="1" customWidth="1"/>
    <col min="22" max="23" width="12.86328125" style="51" bestFit="1" customWidth="1"/>
    <col min="24" max="25" width="8.3984375" style="51" bestFit="1" customWidth="1"/>
    <col min="26" max="26" width="12.86328125" style="51" bestFit="1" customWidth="1"/>
    <col min="27" max="27" width="19.86328125" style="51" bestFit="1" customWidth="1"/>
    <col min="28" max="29" width="8.3984375" style="51" bestFit="1" customWidth="1"/>
    <col min="30" max="33" width="7.3984375" style="51" bestFit="1" customWidth="1"/>
    <col min="34" max="16384" width="11.3984375" style="51"/>
  </cols>
  <sheetData>
    <row r="1" spans="1:33" s="92" customFormat="1" ht="25.9" x14ac:dyDescent="0.45">
      <c r="A1" s="25" t="s">
        <v>1</v>
      </c>
      <c r="B1" s="25" t="s">
        <v>2</v>
      </c>
      <c r="C1" s="25" t="s">
        <v>3</v>
      </c>
      <c r="D1" s="25" t="s">
        <v>4</v>
      </c>
      <c r="E1" s="25" t="s">
        <v>116</v>
      </c>
      <c r="F1" s="25" t="s">
        <v>6</v>
      </c>
      <c r="G1" s="25" t="s">
        <v>362</v>
      </c>
      <c r="H1" s="25" t="s">
        <v>363</v>
      </c>
      <c r="I1" s="25" t="s">
        <v>8</v>
      </c>
      <c r="J1" s="25" t="s">
        <v>10</v>
      </c>
      <c r="K1" s="25" t="s">
        <v>117</v>
      </c>
      <c r="L1" s="25" t="s">
        <v>344</v>
      </c>
      <c r="M1" s="25" t="s">
        <v>345</v>
      </c>
      <c r="N1" s="25" t="s">
        <v>14</v>
      </c>
      <c r="O1" s="25" t="s">
        <v>15</v>
      </c>
      <c r="P1" s="25" t="s">
        <v>16</v>
      </c>
      <c r="Q1" s="25" t="s">
        <v>17</v>
      </c>
      <c r="R1" s="25" t="s">
        <v>18</v>
      </c>
      <c r="S1" s="25" t="s">
        <v>19</v>
      </c>
      <c r="T1" s="25" t="s">
        <v>20</v>
      </c>
      <c r="U1" s="25" t="s">
        <v>21</v>
      </c>
      <c r="V1" s="25" t="s">
        <v>22</v>
      </c>
      <c r="W1" s="25" t="s">
        <v>23</v>
      </c>
      <c r="X1" s="25" t="s">
        <v>24</v>
      </c>
      <c r="Y1" s="25" t="s">
        <v>25</v>
      </c>
      <c r="Z1" s="25" t="s">
        <v>26</v>
      </c>
      <c r="AA1" s="25" t="s">
        <v>27</v>
      </c>
      <c r="AB1" s="25" t="s">
        <v>346</v>
      </c>
      <c r="AC1" s="25" t="s">
        <v>347</v>
      </c>
      <c r="AD1" s="49" t="s">
        <v>28</v>
      </c>
      <c r="AE1" s="49" t="s">
        <v>29</v>
      </c>
      <c r="AF1" s="49" t="s">
        <v>28</v>
      </c>
      <c r="AG1" s="49" t="s">
        <v>29</v>
      </c>
    </row>
    <row r="2" spans="1:33" s="92" customFormat="1" ht="59.65" x14ac:dyDescent="0.45">
      <c r="A2" s="25" t="s">
        <v>731</v>
      </c>
      <c r="B2" s="25" t="s">
        <v>31</v>
      </c>
      <c r="C2" s="25" t="s">
        <v>32</v>
      </c>
      <c r="D2" s="25" t="s">
        <v>32</v>
      </c>
      <c r="E2" s="25" t="s">
        <v>32</v>
      </c>
      <c r="F2" s="25" t="s">
        <v>32</v>
      </c>
      <c r="G2" s="25" t="s">
        <v>32</v>
      </c>
      <c r="H2" s="25" t="s">
        <v>32</v>
      </c>
      <c r="I2" s="25" t="s">
        <v>33</v>
      </c>
      <c r="J2" s="25" t="s">
        <v>32</v>
      </c>
      <c r="K2" s="25"/>
      <c r="L2" s="25" t="s">
        <v>32</v>
      </c>
      <c r="M2" s="25" t="s">
        <v>32</v>
      </c>
      <c r="N2" s="25" t="s">
        <v>35</v>
      </c>
      <c r="O2" s="25" t="s">
        <v>36</v>
      </c>
      <c r="P2" s="25" t="s">
        <v>37</v>
      </c>
      <c r="Q2" s="25" t="s">
        <v>38</v>
      </c>
      <c r="R2" s="25" t="s">
        <v>38</v>
      </c>
      <c r="S2" s="25" t="s">
        <v>32</v>
      </c>
      <c r="T2" s="25" t="s">
        <v>33</v>
      </c>
      <c r="U2" s="25" t="s">
        <v>37</v>
      </c>
      <c r="V2" s="25" t="s">
        <v>38</v>
      </c>
      <c r="W2" s="25" t="s">
        <v>38</v>
      </c>
      <c r="X2" s="25" t="s">
        <v>32</v>
      </c>
      <c r="Y2" s="25" t="s">
        <v>32</v>
      </c>
      <c r="Z2" s="25" t="s">
        <v>37</v>
      </c>
      <c r="AA2" s="25" t="s">
        <v>39</v>
      </c>
      <c r="AB2" s="25" t="s">
        <v>32</v>
      </c>
      <c r="AC2" s="25" t="s">
        <v>32</v>
      </c>
      <c r="AD2" s="50" t="s">
        <v>732</v>
      </c>
      <c r="AE2" s="50" t="s">
        <v>732</v>
      </c>
      <c r="AF2" s="50" t="s">
        <v>733</v>
      </c>
      <c r="AG2" s="50" t="s">
        <v>733</v>
      </c>
    </row>
    <row r="3" spans="1:33" x14ac:dyDescent="0.45">
      <c r="A3" s="29" t="s">
        <v>364</v>
      </c>
      <c r="B3" s="27">
        <v>5.59</v>
      </c>
      <c r="C3" s="26">
        <v>50</v>
      </c>
      <c r="D3" s="27">
        <v>38</v>
      </c>
      <c r="E3" s="27">
        <v>5</v>
      </c>
      <c r="F3" s="27">
        <v>7</v>
      </c>
      <c r="G3" s="27">
        <v>7</v>
      </c>
      <c r="H3" s="27">
        <v>3.5</v>
      </c>
      <c r="I3" s="26">
        <v>712</v>
      </c>
      <c r="J3" s="26">
        <v>21</v>
      </c>
      <c r="K3" s="28" t="s">
        <v>34</v>
      </c>
      <c r="L3" s="28" t="s">
        <v>34</v>
      </c>
      <c r="M3" s="28" t="s">
        <v>34</v>
      </c>
      <c r="N3" s="26">
        <v>0.23200000000000001</v>
      </c>
      <c r="O3" s="27">
        <v>42.22</v>
      </c>
      <c r="P3" s="26">
        <v>264000</v>
      </c>
      <c r="Q3" s="27">
        <v>10600</v>
      </c>
      <c r="R3" s="27">
        <v>13100</v>
      </c>
      <c r="S3" s="27">
        <v>19.2</v>
      </c>
      <c r="T3" s="69">
        <v>277</v>
      </c>
      <c r="U3" s="26">
        <v>91199.999999999985</v>
      </c>
      <c r="V3" s="81">
        <v>3750</v>
      </c>
      <c r="W3" s="27">
        <v>6780</v>
      </c>
      <c r="X3" s="27">
        <v>11.299999999999999</v>
      </c>
      <c r="Y3" s="26">
        <v>16.7</v>
      </c>
      <c r="Z3" s="27">
        <v>11200.000000000002</v>
      </c>
      <c r="AA3" s="27">
        <v>30000000</v>
      </c>
      <c r="AB3" s="27">
        <v>13.700000000000001</v>
      </c>
      <c r="AC3" s="27">
        <v>24.700000000000003</v>
      </c>
      <c r="AD3" s="26">
        <v>1</v>
      </c>
      <c r="AE3" s="27">
        <v>1</v>
      </c>
      <c r="AF3" s="26">
        <v>1</v>
      </c>
      <c r="AG3" s="27">
        <v>1</v>
      </c>
    </row>
    <row r="4" spans="1:33" x14ac:dyDescent="0.45">
      <c r="A4" s="40" t="s">
        <v>365</v>
      </c>
      <c r="B4" s="36">
        <v>7.09</v>
      </c>
      <c r="C4" s="35">
        <v>65</v>
      </c>
      <c r="D4" s="36">
        <v>42</v>
      </c>
      <c r="E4" s="36">
        <v>5.5</v>
      </c>
      <c r="F4" s="36">
        <v>7.5</v>
      </c>
      <c r="G4" s="36">
        <v>7.5</v>
      </c>
      <c r="H4" s="36">
        <v>4</v>
      </c>
      <c r="I4" s="35">
        <v>902.99999999999989</v>
      </c>
      <c r="J4" s="35">
        <v>34</v>
      </c>
      <c r="K4" s="37" t="s">
        <v>34</v>
      </c>
      <c r="L4" s="37" t="s">
        <v>34</v>
      </c>
      <c r="M4" s="37" t="s">
        <v>34</v>
      </c>
      <c r="N4" s="35">
        <v>0.27300000000000002</v>
      </c>
      <c r="O4" s="36">
        <v>39.57</v>
      </c>
      <c r="P4" s="35">
        <v>575000</v>
      </c>
      <c r="Q4" s="36">
        <v>17700</v>
      </c>
      <c r="R4" s="36">
        <v>21700</v>
      </c>
      <c r="S4" s="36">
        <v>25.2</v>
      </c>
      <c r="T4" s="73">
        <v>368</v>
      </c>
      <c r="U4" s="35">
        <v>141000</v>
      </c>
      <c r="V4" s="85">
        <v>5070</v>
      </c>
      <c r="W4" s="36">
        <v>9380</v>
      </c>
      <c r="X4" s="36">
        <v>12.5</v>
      </c>
      <c r="Y4" s="35">
        <v>18</v>
      </c>
      <c r="Z4" s="36">
        <v>16100.000000000002</v>
      </c>
      <c r="AA4" s="36">
        <v>80000000</v>
      </c>
      <c r="AB4" s="36">
        <v>14.2</v>
      </c>
      <c r="AC4" s="36">
        <v>26</v>
      </c>
      <c r="AD4" s="35">
        <v>1</v>
      </c>
      <c r="AE4" s="36">
        <v>1</v>
      </c>
      <c r="AF4" s="35">
        <v>1</v>
      </c>
      <c r="AG4" s="36">
        <v>1</v>
      </c>
    </row>
    <row r="5" spans="1:33" x14ac:dyDescent="0.45">
      <c r="A5" s="43" t="s">
        <v>366</v>
      </c>
      <c r="B5" s="31">
        <v>8.64</v>
      </c>
      <c r="C5" s="30">
        <v>80</v>
      </c>
      <c r="D5" s="31">
        <v>45</v>
      </c>
      <c r="E5" s="31">
        <v>6</v>
      </c>
      <c r="F5" s="31">
        <v>8</v>
      </c>
      <c r="G5" s="31">
        <v>8</v>
      </c>
      <c r="H5" s="31">
        <v>4</v>
      </c>
      <c r="I5" s="30">
        <v>1100</v>
      </c>
      <c r="J5" s="30">
        <v>47</v>
      </c>
      <c r="K5" s="32" t="s">
        <v>43</v>
      </c>
      <c r="L5" s="32" t="s">
        <v>43</v>
      </c>
      <c r="M5" s="32" t="s">
        <v>43</v>
      </c>
      <c r="N5" s="30">
        <v>0.312</v>
      </c>
      <c r="O5" s="31">
        <v>37.1</v>
      </c>
      <c r="P5" s="30">
        <v>1060000</v>
      </c>
      <c r="Q5" s="31">
        <v>26500</v>
      </c>
      <c r="R5" s="31">
        <v>32299.999999999996</v>
      </c>
      <c r="S5" s="31">
        <v>31</v>
      </c>
      <c r="T5" s="71">
        <v>490.00000000000006</v>
      </c>
      <c r="U5" s="30">
        <v>194000</v>
      </c>
      <c r="V5" s="83">
        <v>6360</v>
      </c>
      <c r="W5" s="31">
        <v>11900</v>
      </c>
      <c r="X5" s="31">
        <v>13.3</v>
      </c>
      <c r="Y5" s="30">
        <v>19.399999999999999</v>
      </c>
      <c r="Z5" s="31">
        <v>22000</v>
      </c>
      <c r="AA5" s="31">
        <v>180000000</v>
      </c>
      <c r="AB5" s="31">
        <v>14.5</v>
      </c>
      <c r="AC5" s="31">
        <v>26.7</v>
      </c>
      <c r="AD5" s="30">
        <v>1</v>
      </c>
      <c r="AE5" s="31">
        <v>1</v>
      </c>
      <c r="AF5" s="30">
        <v>1</v>
      </c>
      <c r="AG5" s="31">
        <v>1</v>
      </c>
    </row>
    <row r="6" spans="1:33" x14ac:dyDescent="0.45">
      <c r="A6" s="40" t="s">
        <v>367</v>
      </c>
      <c r="B6" s="36">
        <v>10.6</v>
      </c>
      <c r="C6" s="35">
        <v>100</v>
      </c>
      <c r="D6" s="36">
        <v>50</v>
      </c>
      <c r="E6" s="36">
        <v>6</v>
      </c>
      <c r="F6" s="36">
        <v>8.5</v>
      </c>
      <c r="G6" s="36">
        <v>8.5</v>
      </c>
      <c r="H6" s="36">
        <v>4.5</v>
      </c>
      <c r="I6" s="35">
        <v>1350</v>
      </c>
      <c r="J6" s="35">
        <v>64</v>
      </c>
      <c r="K6" s="37" t="s">
        <v>34</v>
      </c>
      <c r="L6" s="37" t="s">
        <v>34</v>
      </c>
      <c r="M6" s="37" t="s">
        <v>34</v>
      </c>
      <c r="N6" s="35">
        <v>0.372</v>
      </c>
      <c r="O6" s="36">
        <v>35.1</v>
      </c>
      <c r="P6" s="35">
        <v>2060000</v>
      </c>
      <c r="Q6" s="36">
        <v>41200</v>
      </c>
      <c r="R6" s="36">
        <v>49000</v>
      </c>
      <c r="S6" s="36">
        <v>39.1</v>
      </c>
      <c r="T6" s="73">
        <v>646</v>
      </c>
      <c r="U6" s="35">
        <v>293000</v>
      </c>
      <c r="V6" s="85">
        <v>8490</v>
      </c>
      <c r="W6" s="36">
        <v>16200</v>
      </c>
      <c r="X6" s="36">
        <v>14.7</v>
      </c>
      <c r="Y6" s="35">
        <v>20.3</v>
      </c>
      <c r="Z6" s="36">
        <v>28100</v>
      </c>
      <c r="AA6" s="36">
        <v>410000000</v>
      </c>
      <c r="AB6" s="36">
        <v>15.5</v>
      </c>
      <c r="AC6" s="36">
        <v>29.3</v>
      </c>
      <c r="AD6" s="35">
        <v>1</v>
      </c>
      <c r="AE6" s="36">
        <v>1</v>
      </c>
      <c r="AF6" s="35">
        <v>1</v>
      </c>
      <c r="AG6" s="36">
        <v>1</v>
      </c>
    </row>
    <row r="7" spans="1:33" x14ac:dyDescent="0.45">
      <c r="A7" s="33" t="s">
        <v>368</v>
      </c>
      <c r="B7" s="31">
        <v>13.4</v>
      </c>
      <c r="C7" s="30">
        <v>120</v>
      </c>
      <c r="D7" s="31">
        <v>55</v>
      </c>
      <c r="E7" s="31">
        <v>7</v>
      </c>
      <c r="F7" s="31">
        <v>9</v>
      </c>
      <c r="G7" s="31">
        <v>9</v>
      </c>
      <c r="H7" s="31">
        <v>4.5</v>
      </c>
      <c r="I7" s="30">
        <v>1700</v>
      </c>
      <c r="J7" s="30">
        <v>82</v>
      </c>
      <c r="K7" s="32" t="s">
        <v>43</v>
      </c>
      <c r="L7" s="32" t="s">
        <v>43</v>
      </c>
      <c r="M7" s="32" t="s">
        <v>43</v>
      </c>
      <c r="N7" s="30">
        <v>0.434</v>
      </c>
      <c r="O7" s="31">
        <v>32.520000000000003</v>
      </c>
      <c r="P7" s="30">
        <v>3640000</v>
      </c>
      <c r="Q7" s="31">
        <v>60700</v>
      </c>
      <c r="R7" s="31">
        <v>72600</v>
      </c>
      <c r="S7" s="31">
        <v>46.2</v>
      </c>
      <c r="T7" s="71">
        <v>880.00000000000011</v>
      </c>
      <c r="U7" s="30">
        <v>432000</v>
      </c>
      <c r="V7" s="83">
        <v>11100</v>
      </c>
      <c r="W7" s="31">
        <v>21200</v>
      </c>
      <c r="X7" s="31">
        <v>15.9</v>
      </c>
      <c r="Y7" s="30">
        <v>22.2</v>
      </c>
      <c r="Z7" s="31">
        <v>41500</v>
      </c>
      <c r="AA7" s="31">
        <v>900000000</v>
      </c>
      <c r="AB7" s="31">
        <v>16</v>
      </c>
      <c r="AC7" s="31">
        <v>30.299999999999997</v>
      </c>
      <c r="AD7" s="30">
        <v>1</v>
      </c>
      <c r="AE7" s="31">
        <v>1</v>
      </c>
      <c r="AF7" s="30">
        <v>1</v>
      </c>
      <c r="AG7" s="31">
        <v>1</v>
      </c>
    </row>
    <row r="8" spans="1:33" x14ac:dyDescent="0.45">
      <c r="A8" s="40" t="s">
        <v>369</v>
      </c>
      <c r="B8" s="36">
        <v>16</v>
      </c>
      <c r="C8" s="35">
        <v>140</v>
      </c>
      <c r="D8" s="36">
        <v>60</v>
      </c>
      <c r="E8" s="36">
        <v>7</v>
      </c>
      <c r="F8" s="36">
        <v>10</v>
      </c>
      <c r="G8" s="36">
        <v>10</v>
      </c>
      <c r="H8" s="36">
        <v>5</v>
      </c>
      <c r="I8" s="35">
        <v>2039.9999999999998</v>
      </c>
      <c r="J8" s="35">
        <v>98</v>
      </c>
      <c r="K8" s="37" t="s">
        <v>68</v>
      </c>
      <c r="L8" s="36">
        <v>33</v>
      </c>
      <c r="M8" s="36">
        <v>37</v>
      </c>
      <c r="N8" s="35">
        <v>0.48899999999999999</v>
      </c>
      <c r="O8" s="36">
        <v>30.54</v>
      </c>
      <c r="P8" s="35">
        <v>6050000</v>
      </c>
      <c r="Q8" s="36">
        <v>86400</v>
      </c>
      <c r="R8" s="36">
        <v>103000</v>
      </c>
      <c r="S8" s="36">
        <v>54.5</v>
      </c>
      <c r="T8" s="73">
        <v>1040</v>
      </c>
      <c r="U8" s="35">
        <v>627000</v>
      </c>
      <c r="V8" s="85">
        <v>14800</v>
      </c>
      <c r="W8" s="36">
        <v>28300</v>
      </c>
      <c r="X8" s="36">
        <v>17.5</v>
      </c>
      <c r="Y8" s="35">
        <v>23.9</v>
      </c>
      <c r="Z8" s="36">
        <v>56800</v>
      </c>
      <c r="AA8" s="36">
        <v>1800000000</v>
      </c>
      <c r="AB8" s="36">
        <v>17.5</v>
      </c>
      <c r="AC8" s="36">
        <v>33.700000000000003</v>
      </c>
      <c r="AD8" s="35">
        <v>1</v>
      </c>
      <c r="AE8" s="36">
        <v>1</v>
      </c>
      <c r="AF8" s="35">
        <v>1</v>
      </c>
      <c r="AG8" s="36">
        <v>1</v>
      </c>
    </row>
    <row r="9" spans="1:33" x14ac:dyDescent="0.45">
      <c r="A9" s="33" t="s">
        <v>370</v>
      </c>
      <c r="B9" s="31">
        <v>18.8</v>
      </c>
      <c r="C9" s="30">
        <v>160</v>
      </c>
      <c r="D9" s="31">
        <v>65</v>
      </c>
      <c r="E9" s="31">
        <v>7.5</v>
      </c>
      <c r="F9" s="31">
        <v>10.5</v>
      </c>
      <c r="G9" s="31">
        <v>10.5</v>
      </c>
      <c r="H9" s="31">
        <v>5.5</v>
      </c>
      <c r="I9" s="30">
        <v>2400</v>
      </c>
      <c r="J9" s="30">
        <v>115</v>
      </c>
      <c r="K9" s="32" t="s">
        <v>70</v>
      </c>
      <c r="L9" s="31">
        <v>34</v>
      </c>
      <c r="M9" s="31">
        <v>42</v>
      </c>
      <c r="N9" s="30">
        <v>0.54600000000000004</v>
      </c>
      <c r="O9" s="31">
        <v>28.98</v>
      </c>
      <c r="P9" s="30">
        <v>9250000</v>
      </c>
      <c r="Q9" s="31">
        <v>116000</v>
      </c>
      <c r="R9" s="31">
        <v>138000</v>
      </c>
      <c r="S9" s="31">
        <v>62.1</v>
      </c>
      <c r="T9" s="71">
        <v>1260</v>
      </c>
      <c r="U9" s="30">
        <v>853000</v>
      </c>
      <c r="V9" s="83">
        <v>18300</v>
      </c>
      <c r="W9" s="31">
        <v>35200</v>
      </c>
      <c r="X9" s="31">
        <v>18.899999999999999</v>
      </c>
      <c r="Y9" s="30">
        <v>25.3</v>
      </c>
      <c r="Z9" s="31">
        <v>73900</v>
      </c>
      <c r="AA9" s="31">
        <v>3260000000</v>
      </c>
      <c r="AB9" s="31">
        <v>18.400000000000002</v>
      </c>
      <c r="AC9" s="31">
        <v>35.6</v>
      </c>
      <c r="AD9" s="30">
        <v>1</v>
      </c>
      <c r="AE9" s="31">
        <v>1</v>
      </c>
      <c r="AF9" s="30">
        <v>1</v>
      </c>
      <c r="AG9" s="31">
        <v>1</v>
      </c>
    </row>
    <row r="10" spans="1:33" x14ac:dyDescent="0.45">
      <c r="A10" s="40" t="s">
        <v>371</v>
      </c>
      <c r="B10" s="36">
        <v>22</v>
      </c>
      <c r="C10" s="35">
        <v>180</v>
      </c>
      <c r="D10" s="36">
        <v>70</v>
      </c>
      <c r="E10" s="36">
        <v>8</v>
      </c>
      <c r="F10" s="36">
        <v>11</v>
      </c>
      <c r="G10" s="36">
        <v>11</v>
      </c>
      <c r="H10" s="36">
        <v>5.5</v>
      </c>
      <c r="I10" s="35">
        <v>2800</v>
      </c>
      <c r="J10" s="35">
        <v>133</v>
      </c>
      <c r="K10" s="37" t="s">
        <v>80</v>
      </c>
      <c r="L10" s="36">
        <v>38</v>
      </c>
      <c r="M10" s="36">
        <v>41</v>
      </c>
      <c r="N10" s="35">
        <v>0.61099999999999999</v>
      </c>
      <c r="O10" s="36">
        <v>27.8</v>
      </c>
      <c r="P10" s="35">
        <v>13500000</v>
      </c>
      <c r="Q10" s="36">
        <v>150000</v>
      </c>
      <c r="R10" s="36">
        <v>179000</v>
      </c>
      <c r="S10" s="36">
        <v>69.5</v>
      </c>
      <c r="T10" s="73">
        <v>1510</v>
      </c>
      <c r="U10" s="35">
        <v>1140000</v>
      </c>
      <c r="V10" s="85">
        <v>22400</v>
      </c>
      <c r="W10" s="36">
        <v>42900</v>
      </c>
      <c r="X10" s="36">
        <v>20.2</v>
      </c>
      <c r="Y10" s="35">
        <v>26.7</v>
      </c>
      <c r="Z10" s="36">
        <v>95500</v>
      </c>
      <c r="AA10" s="36">
        <v>5570000000</v>
      </c>
      <c r="AB10" s="36">
        <v>19.2</v>
      </c>
      <c r="AC10" s="36">
        <v>37.5</v>
      </c>
      <c r="AD10" s="35">
        <v>1</v>
      </c>
      <c r="AE10" s="36">
        <v>1</v>
      </c>
      <c r="AF10" s="35">
        <v>1</v>
      </c>
      <c r="AG10" s="36">
        <v>1</v>
      </c>
    </row>
    <row r="11" spans="1:33" x14ac:dyDescent="0.45">
      <c r="A11" s="40" t="s">
        <v>372</v>
      </c>
      <c r="B11" s="36">
        <v>25.3</v>
      </c>
      <c r="C11" s="35">
        <v>200</v>
      </c>
      <c r="D11" s="36">
        <v>75</v>
      </c>
      <c r="E11" s="36">
        <v>8.5</v>
      </c>
      <c r="F11" s="36">
        <v>11.5</v>
      </c>
      <c r="G11" s="36">
        <v>11.5</v>
      </c>
      <c r="H11" s="36">
        <v>6</v>
      </c>
      <c r="I11" s="35">
        <v>3220.0000000000005</v>
      </c>
      <c r="J11" s="35">
        <v>151</v>
      </c>
      <c r="K11" s="37" t="s">
        <v>80</v>
      </c>
      <c r="L11" s="36">
        <v>39</v>
      </c>
      <c r="M11" s="36">
        <v>46</v>
      </c>
      <c r="N11" s="35">
        <v>0.66100000000000003</v>
      </c>
      <c r="O11" s="36">
        <v>26.15</v>
      </c>
      <c r="P11" s="35">
        <v>19100000</v>
      </c>
      <c r="Q11" s="36">
        <v>191000</v>
      </c>
      <c r="R11" s="36">
        <v>228000</v>
      </c>
      <c r="S11" s="36">
        <v>77</v>
      </c>
      <c r="T11" s="73">
        <v>1770</v>
      </c>
      <c r="U11" s="35">
        <v>1480000</v>
      </c>
      <c r="V11" s="85">
        <v>27000</v>
      </c>
      <c r="W11" s="36">
        <v>51800</v>
      </c>
      <c r="X11" s="36">
        <v>21.400000000000002</v>
      </c>
      <c r="Y11" s="35">
        <v>28.1</v>
      </c>
      <c r="Z11" s="36">
        <v>119000</v>
      </c>
      <c r="AA11" s="36">
        <v>9070000000</v>
      </c>
      <c r="AB11" s="36">
        <v>20.099999999999998</v>
      </c>
      <c r="AC11" s="36">
        <v>39.4</v>
      </c>
      <c r="AD11" s="35">
        <v>1</v>
      </c>
      <c r="AE11" s="36">
        <v>1</v>
      </c>
      <c r="AF11" s="35">
        <v>1</v>
      </c>
      <c r="AG11" s="36">
        <v>1</v>
      </c>
    </row>
    <row r="12" spans="1:33" x14ac:dyDescent="0.45">
      <c r="A12" s="33" t="s">
        <v>373</v>
      </c>
      <c r="B12" s="31">
        <v>29.4</v>
      </c>
      <c r="C12" s="30">
        <v>220</v>
      </c>
      <c r="D12" s="31">
        <v>80</v>
      </c>
      <c r="E12" s="31">
        <v>9</v>
      </c>
      <c r="F12" s="31">
        <v>12.5</v>
      </c>
      <c r="G12" s="31">
        <v>12.5</v>
      </c>
      <c r="H12" s="31">
        <v>6.5</v>
      </c>
      <c r="I12" s="30">
        <v>3740</v>
      </c>
      <c r="J12" s="30">
        <v>167</v>
      </c>
      <c r="K12" s="32" t="s">
        <v>78</v>
      </c>
      <c r="L12" s="31">
        <v>40</v>
      </c>
      <c r="M12" s="31">
        <v>51</v>
      </c>
      <c r="N12" s="30">
        <v>0.71799999999999997</v>
      </c>
      <c r="O12" s="31">
        <v>24.46</v>
      </c>
      <c r="P12" s="30">
        <v>26900000</v>
      </c>
      <c r="Q12" s="31">
        <v>245000</v>
      </c>
      <c r="R12" s="31">
        <v>292000</v>
      </c>
      <c r="S12" s="31">
        <v>84.800000000000011</v>
      </c>
      <c r="T12" s="71">
        <v>2060</v>
      </c>
      <c r="U12" s="30">
        <v>1970000</v>
      </c>
      <c r="V12" s="83">
        <v>33600</v>
      </c>
      <c r="W12" s="31">
        <v>64099.999999999993</v>
      </c>
      <c r="X12" s="31">
        <v>23</v>
      </c>
      <c r="Y12" s="30">
        <v>30.3</v>
      </c>
      <c r="Z12" s="31">
        <v>160000</v>
      </c>
      <c r="AA12" s="31">
        <v>14600000000</v>
      </c>
      <c r="AB12" s="31">
        <v>21.400000000000002</v>
      </c>
      <c r="AC12" s="31">
        <v>42</v>
      </c>
      <c r="AD12" s="30">
        <v>1</v>
      </c>
      <c r="AE12" s="31">
        <v>1</v>
      </c>
      <c r="AF12" s="30">
        <v>1</v>
      </c>
      <c r="AG12" s="31">
        <v>1</v>
      </c>
    </row>
    <row r="13" spans="1:33" x14ac:dyDescent="0.45">
      <c r="A13" s="40" t="s">
        <v>374</v>
      </c>
      <c r="B13" s="36">
        <v>33.200000000000003</v>
      </c>
      <c r="C13" s="35">
        <v>240</v>
      </c>
      <c r="D13" s="36">
        <v>85</v>
      </c>
      <c r="E13" s="36">
        <v>9.5</v>
      </c>
      <c r="F13" s="36">
        <v>13</v>
      </c>
      <c r="G13" s="36">
        <v>13</v>
      </c>
      <c r="H13" s="36">
        <v>6.5</v>
      </c>
      <c r="I13" s="35">
        <v>4230</v>
      </c>
      <c r="J13" s="35">
        <v>184</v>
      </c>
      <c r="K13" s="37" t="s">
        <v>137</v>
      </c>
      <c r="L13" s="36">
        <v>46</v>
      </c>
      <c r="M13" s="36">
        <v>50</v>
      </c>
      <c r="N13" s="35">
        <v>0.77500000000000002</v>
      </c>
      <c r="O13" s="36">
        <v>23.34</v>
      </c>
      <c r="P13" s="35">
        <v>36000000</v>
      </c>
      <c r="Q13" s="36">
        <v>300000</v>
      </c>
      <c r="R13" s="36">
        <v>358000</v>
      </c>
      <c r="S13" s="36">
        <v>92.2</v>
      </c>
      <c r="T13" s="73">
        <v>2370</v>
      </c>
      <c r="U13" s="35">
        <v>2480000</v>
      </c>
      <c r="V13" s="85">
        <v>39600</v>
      </c>
      <c r="W13" s="36">
        <v>75700</v>
      </c>
      <c r="X13" s="36">
        <v>24.2</v>
      </c>
      <c r="Y13" s="35">
        <v>31.7</v>
      </c>
      <c r="Z13" s="36">
        <v>197000</v>
      </c>
      <c r="AA13" s="36">
        <v>22100000000</v>
      </c>
      <c r="AB13" s="36">
        <v>22.3</v>
      </c>
      <c r="AC13" s="36">
        <v>43.9</v>
      </c>
      <c r="AD13" s="35">
        <v>1</v>
      </c>
      <c r="AE13" s="36">
        <v>1</v>
      </c>
      <c r="AF13" s="35">
        <v>1</v>
      </c>
      <c r="AG13" s="36">
        <v>1</v>
      </c>
    </row>
    <row r="14" spans="1:33" x14ac:dyDescent="0.45">
      <c r="A14" s="33" t="s">
        <v>375</v>
      </c>
      <c r="B14" s="31">
        <v>37.9</v>
      </c>
      <c r="C14" s="30">
        <v>260</v>
      </c>
      <c r="D14" s="31">
        <v>90</v>
      </c>
      <c r="E14" s="31">
        <v>10</v>
      </c>
      <c r="F14" s="31">
        <v>14</v>
      </c>
      <c r="G14" s="31">
        <v>14</v>
      </c>
      <c r="H14" s="31">
        <v>7</v>
      </c>
      <c r="I14" s="30">
        <v>4830</v>
      </c>
      <c r="J14" s="30">
        <v>200</v>
      </c>
      <c r="K14" s="32" t="s">
        <v>89</v>
      </c>
      <c r="L14" s="31">
        <v>50</v>
      </c>
      <c r="M14" s="31">
        <v>52</v>
      </c>
      <c r="N14" s="30">
        <v>0.83399999999999996</v>
      </c>
      <c r="O14" s="31">
        <v>22</v>
      </c>
      <c r="P14" s="30">
        <v>48200000</v>
      </c>
      <c r="Q14" s="31">
        <v>371000</v>
      </c>
      <c r="R14" s="31">
        <v>442000</v>
      </c>
      <c r="S14" s="31">
        <v>99.9</v>
      </c>
      <c r="T14" s="71">
        <v>2710</v>
      </c>
      <c r="U14" s="30">
        <v>3170000</v>
      </c>
      <c r="V14" s="83">
        <v>47700</v>
      </c>
      <c r="W14" s="31">
        <v>91600</v>
      </c>
      <c r="X14" s="31">
        <v>25.6</v>
      </c>
      <c r="Y14" s="30">
        <v>33.9</v>
      </c>
      <c r="Z14" s="31">
        <v>255000</v>
      </c>
      <c r="AA14" s="31">
        <v>33299999999.999996</v>
      </c>
      <c r="AB14" s="31">
        <v>23.599999999999998</v>
      </c>
      <c r="AC14" s="31">
        <v>46.6</v>
      </c>
      <c r="AD14" s="30">
        <v>1</v>
      </c>
      <c r="AE14" s="31">
        <v>1</v>
      </c>
      <c r="AF14" s="30">
        <v>1</v>
      </c>
      <c r="AG14" s="31">
        <v>1</v>
      </c>
    </row>
    <row r="15" spans="1:33" x14ac:dyDescent="0.45">
      <c r="A15" s="40" t="s">
        <v>376</v>
      </c>
      <c r="B15" s="36">
        <v>41.8</v>
      </c>
      <c r="C15" s="35">
        <v>280</v>
      </c>
      <c r="D15" s="36">
        <v>95</v>
      </c>
      <c r="E15" s="36">
        <v>10</v>
      </c>
      <c r="F15" s="36">
        <v>15</v>
      </c>
      <c r="G15" s="36">
        <v>15</v>
      </c>
      <c r="H15" s="36">
        <v>7.5</v>
      </c>
      <c r="I15" s="35">
        <v>5330</v>
      </c>
      <c r="J15" s="35">
        <v>216</v>
      </c>
      <c r="K15" s="37" t="s">
        <v>91</v>
      </c>
      <c r="L15" s="36">
        <v>52</v>
      </c>
      <c r="M15" s="36">
        <v>57</v>
      </c>
      <c r="N15" s="35">
        <v>0.89</v>
      </c>
      <c r="O15" s="36">
        <v>21.27</v>
      </c>
      <c r="P15" s="35">
        <v>62800000</v>
      </c>
      <c r="Q15" s="36">
        <v>448000</v>
      </c>
      <c r="R15" s="36">
        <v>532000</v>
      </c>
      <c r="S15" s="36">
        <v>109</v>
      </c>
      <c r="T15" s="73">
        <v>2930</v>
      </c>
      <c r="U15" s="35">
        <v>3990000</v>
      </c>
      <c r="V15" s="85">
        <v>57200</v>
      </c>
      <c r="W15" s="36">
        <v>109000</v>
      </c>
      <c r="X15" s="36">
        <v>27.400000000000002</v>
      </c>
      <c r="Y15" s="35">
        <v>35.6</v>
      </c>
      <c r="Z15" s="36">
        <v>310000</v>
      </c>
      <c r="AA15" s="36">
        <v>48500000000</v>
      </c>
      <c r="AB15" s="36">
        <v>25.299999999999997</v>
      </c>
      <c r="AC15" s="36">
        <v>50.199999999999996</v>
      </c>
      <c r="AD15" s="35">
        <v>1</v>
      </c>
      <c r="AE15" s="36">
        <v>1</v>
      </c>
      <c r="AF15" s="35">
        <v>1</v>
      </c>
      <c r="AG15" s="36">
        <v>1</v>
      </c>
    </row>
    <row r="16" spans="1:33" x14ac:dyDescent="0.45">
      <c r="A16" s="40" t="s">
        <v>377</v>
      </c>
      <c r="B16" s="36">
        <v>46.2</v>
      </c>
      <c r="C16" s="35">
        <v>300</v>
      </c>
      <c r="D16" s="36">
        <v>100</v>
      </c>
      <c r="E16" s="36">
        <v>10</v>
      </c>
      <c r="F16" s="36">
        <v>16</v>
      </c>
      <c r="G16" s="36">
        <v>16</v>
      </c>
      <c r="H16" s="36">
        <v>8</v>
      </c>
      <c r="I16" s="35">
        <v>5880</v>
      </c>
      <c r="J16" s="35">
        <v>232</v>
      </c>
      <c r="K16" s="37" t="s">
        <v>99</v>
      </c>
      <c r="L16" s="36">
        <v>55</v>
      </c>
      <c r="M16" s="36">
        <v>59</v>
      </c>
      <c r="N16" s="35">
        <v>0.95</v>
      </c>
      <c r="O16" s="36">
        <v>20.58</v>
      </c>
      <c r="P16" s="35">
        <v>80300000</v>
      </c>
      <c r="Q16" s="36">
        <v>535000</v>
      </c>
      <c r="R16" s="36">
        <v>632000</v>
      </c>
      <c r="S16" s="36">
        <v>117</v>
      </c>
      <c r="T16" s="73">
        <v>3180</v>
      </c>
      <c r="U16" s="35">
        <v>4950000</v>
      </c>
      <c r="V16" s="85">
        <v>67800</v>
      </c>
      <c r="W16" s="36">
        <v>130000</v>
      </c>
      <c r="X16" s="36">
        <v>29</v>
      </c>
      <c r="Y16" s="35">
        <v>37.299999999999997</v>
      </c>
      <c r="Z16" s="36">
        <v>374000</v>
      </c>
      <c r="AA16" s="36">
        <v>69100000000</v>
      </c>
      <c r="AB16" s="36">
        <v>27</v>
      </c>
      <c r="AC16" s="36">
        <v>54.1</v>
      </c>
      <c r="AD16" s="35">
        <v>1</v>
      </c>
      <c r="AE16" s="36">
        <v>1</v>
      </c>
      <c r="AF16" s="35">
        <v>1</v>
      </c>
      <c r="AG16" s="36">
        <v>1</v>
      </c>
    </row>
    <row r="17" spans="1:33" x14ac:dyDescent="0.45">
      <c r="A17" s="43" t="s">
        <v>378</v>
      </c>
      <c r="B17" s="31">
        <v>59.5</v>
      </c>
      <c r="C17" s="30">
        <v>320</v>
      </c>
      <c r="D17" s="31">
        <v>100</v>
      </c>
      <c r="E17" s="31">
        <v>14</v>
      </c>
      <c r="F17" s="31">
        <v>17.5</v>
      </c>
      <c r="G17" s="31">
        <v>17.5</v>
      </c>
      <c r="H17" s="31">
        <v>8.8000000000000007</v>
      </c>
      <c r="I17" s="30">
        <v>7580</v>
      </c>
      <c r="J17" s="30">
        <v>246</v>
      </c>
      <c r="K17" s="32" t="s">
        <v>89</v>
      </c>
      <c r="L17" s="31">
        <v>58</v>
      </c>
      <c r="M17" s="31">
        <v>62</v>
      </c>
      <c r="N17" s="30">
        <v>0.98199999999999998</v>
      </c>
      <c r="O17" s="31">
        <v>16.5</v>
      </c>
      <c r="P17" s="30">
        <v>108700000</v>
      </c>
      <c r="Q17" s="31">
        <v>679000</v>
      </c>
      <c r="R17" s="31">
        <v>826000</v>
      </c>
      <c r="S17" s="31">
        <v>121</v>
      </c>
      <c r="T17" s="71">
        <v>4710</v>
      </c>
      <c r="U17" s="30">
        <v>5970000</v>
      </c>
      <c r="V17" s="83">
        <v>80600</v>
      </c>
      <c r="W17" s="31">
        <v>152000</v>
      </c>
      <c r="X17" s="31">
        <v>28.1</v>
      </c>
      <c r="Y17" s="30">
        <v>43</v>
      </c>
      <c r="Z17" s="31">
        <v>667000</v>
      </c>
      <c r="AA17" s="31">
        <v>96100000000</v>
      </c>
      <c r="AB17" s="31">
        <v>26</v>
      </c>
      <c r="AC17" s="31">
        <v>48.2</v>
      </c>
      <c r="AD17" s="30">
        <v>1</v>
      </c>
      <c r="AE17" s="31">
        <v>1</v>
      </c>
      <c r="AF17" s="30">
        <v>1</v>
      </c>
      <c r="AG17" s="31">
        <v>1</v>
      </c>
    </row>
    <row r="18" spans="1:33" x14ac:dyDescent="0.45">
      <c r="A18" s="40" t="s">
        <v>379</v>
      </c>
      <c r="B18" s="36">
        <v>60.6</v>
      </c>
      <c r="C18" s="35">
        <v>350</v>
      </c>
      <c r="D18" s="36">
        <v>100</v>
      </c>
      <c r="E18" s="36">
        <v>14</v>
      </c>
      <c r="F18" s="36">
        <v>16</v>
      </c>
      <c r="G18" s="36">
        <v>16</v>
      </c>
      <c r="H18" s="36">
        <v>8</v>
      </c>
      <c r="I18" s="35">
        <v>7730</v>
      </c>
      <c r="J18" s="35">
        <v>282</v>
      </c>
      <c r="K18" s="37" t="s">
        <v>91</v>
      </c>
      <c r="L18" s="36">
        <v>56</v>
      </c>
      <c r="M18" s="36">
        <v>62</v>
      </c>
      <c r="N18" s="35">
        <v>1.05</v>
      </c>
      <c r="O18" s="36">
        <v>17.25</v>
      </c>
      <c r="P18" s="35">
        <v>128400000</v>
      </c>
      <c r="Q18" s="36">
        <v>734000</v>
      </c>
      <c r="R18" s="36">
        <v>918000</v>
      </c>
      <c r="S18" s="36">
        <v>129</v>
      </c>
      <c r="T18" s="73">
        <v>5080</v>
      </c>
      <c r="U18" s="35">
        <v>5700000</v>
      </c>
      <c r="V18" s="85">
        <v>75000</v>
      </c>
      <c r="W18" s="36">
        <v>143000</v>
      </c>
      <c r="X18" s="36">
        <v>27.200000000000003</v>
      </c>
      <c r="Y18" s="35">
        <v>40.700000000000003</v>
      </c>
      <c r="Z18" s="36">
        <v>612000</v>
      </c>
      <c r="AA18" s="36">
        <v>114000000000</v>
      </c>
      <c r="AB18" s="36">
        <v>24</v>
      </c>
      <c r="AC18" s="36">
        <v>44.5</v>
      </c>
      <c r="AD18" s="35">
        <v>1</v>
      </c>
      <c r="AE18" s="36">
        <v>1</v>
      </c>
      <c r="AF18" s="35">
        <v>1</v>
      </c>
      <c r="AG18" s="36">
        <v>1</v>
      </c>
    </row>
    <row r="19" spans="1:33" x14ac:dyDescent="0.45">
      <c r="A19" s="33" t="s">
        <v>380</v>
      </c>
      <c r="B19" s="31">
        <v>63.1</v>
      </c>
      <c r="C19" s="30">
        <v>380</v>
      </c>
      <c r="D19" s="31">
        <v>102</v>
      </c>
      <c r="E19" s="31">
        <v>13.5</v>
      </c>
      <c r="F19" s="31">
        <v>16</v>
      </c>
      <c r="G19" s="31">
        <v>16</v>
      </c>
      <c r="H19" s="31">
        <v>8</v>
      </c>
      <c r="I19" s="30">
        <v>8040.0000000000009</v>
      </c>
      <c r="J19" s="30">
        <v>313</v>
      </c>
      <c r="K19" s="32" t="s">
        <v>97</v>
      </c>
      <c r="L19" s="31">
        <v>59</v>
      </c>
      <c r="M19" s="31">
        <v>60</v>
      </c>
      <c r="N19" s="30">
        <v>1.1100000000000001</v>
      </c>
      <c r="O19" s="31">
        <v>17.59</v>
      </c>
      <c r="P19" s="30">
        <v>157600000</v>
      </c>
      <c r="Q19" s="31">
        <v>829000</v>
      </c>
      <c r="R19" s="31">
        <v>1010000</v>
      </c>
      <c r="S19" s="31">
        <v>140</v>
      </c>
      <c r="T19" s="71">
        <v>5320</v>
      </c>
      <c r="U19" s="30">
        <v>6150000</v>
      </c>
      <c r="V19" s="83">
        <v>78700</v>
      </c>
      <c r="W19" s="31">
        <v>148000</v>
      </c>
      <c r="X19" s="31">
        <v>27.7</v>
      </c>
      <c r="Y19" s="30">
        <v>40.299999999999997</v>
      </c>
      <c r="Z19" s="31">
        <v>591000</v>
      </c>
      <c r="AA19" s="31">
        <v>146000000000</v>
      </c>
      <c r="AB19" s="31">
        <v>23.799999999999997</v>
      </c>
      <c r="AC19" s="31">
        <v>45.8</v>
      </c>
      <c r="AD19" s="30">
        <v>1</v>
      </c>
      <c r="AE19" s="31">
        <v>1</v>
      </c>
      <c r="AF19" s="30">
        <v>1</v>
      </c>
      <c r="AG19" s="31">
        <v>1</v>
      </c>
    </row>
    <row r="20" spans="1:33" x14ac:dyDescent="0.45">
      <c r="A20" s="44" t="s">
        <v>381</v>
      </c>
      <c r="B20" s="42">
        <v>71.8</v>
      </c>
      <c r="C20" s="41">
        <v>400</v>
      </c>
      <c r="D20" s="42">
        <v>110</v>
      </c>
      <c r="E20" s="42">
        <v>14</v>
      </c>
      <c r="F20" s="42">
        <v>18</v>
      </c>
      <c r="G20" s="42">
        <v>18</v>
      </c>
      <c r="H20" s="42">
        <v>9</v>
      </c>
      <c r="I20" s="41">
        <v>9150</v>
      </c>
      <c r="J20" s="41">
        <v>324</v>
      </c>
      <c r="K20" s="45" t="s">
        <v>110</v>
      </c>
      <c r="L20" s="42">
        <v>61</v>
      </c>
      <c r="M20" s="42">
        <v>62</v>
      </c>
      <c r="N20" s="41">
        <v>1.18</v>
      </c>
      <c r="O20" s="42">
        <v>16.46</v>
      </c>
      <c r="P20" s="41">
        <v>203500000</v>
      </c>
      <c r="Q20" s="42">
        <v>1020000</v>
      </c>
      <c r="R20" s="42">
        <v>1240000</v>
      </c>
      <c r="S20" s="42">
        <v>149</v>
      </c>
      <c r="T20" s="114">
        <v>5860</v>
      </c>
      <c r="U20" s="41">
        <v>8460000</v>
      </c>
      <c r="V20" s="115">
        <v>102000</v>
      </c>
      <c r="W20" s="42">
        <v>190000</v>
      </c>
      <c r="X20" s="42">
        <v>30.4</v>
      </c>
      <c r="Y20" s="41">
        <v>44</v>
      </c>
      <c r="Z20" s="42">
        <v>816000</v>
      </c>
      <c r="AA20" s="42">
        <v>221000000000</v>
      </c>
      <c r="AB20" s="42">
        <v>26.5</v>
      </c>
      <c r="AC20" s="42">
        <v>51.1</v>
      </c>
      <c r="AD20" s="41">
        <v>1</v>
      </c>
      <c r="AE20" s="42">
        <v>1</v>
      </c>
      <c r="AF20" s="41">
        <v>1</v>
      </c>
      <c r="AG20" s="4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5"/>
  <dimension ref="A1:AG40"/>
  <sheetViews>
    <sheetView topLeftCell="W1" zoomScale="85" zoomScaleNormal="85" workbookViewId="0">
      <selection activeCell="AG2" sqref="AG2"/>
    </sheetView>
  </sheetViews>
  <sheetFormatPr baseColWidth="10" defaultColWidth="11.3984375" defaultRowHeight="14.25" x14ac:dyDescent="0.45"/>
  <cols>
    <col min="1" max="1" width="13.265625" style="47" bestFit="1" customWidth="1"/>
    <col min="2" max="2" width="11" style="47" bestFit="1" customWidth="1"/>
    <col min="3" max="4" width="9.59765625" style="47" bestFit="1" customWidth="1"/>
    <col min="5" max="5" width="8.59765625" style="47" bestFit="1" customWidth="1"/>
    <col min="6" max="6" width="9.59765625" style="47" bestFit="1" customWidth="1"/>
    <col min="7" max="7" width="8.59765625" style="47" bestFit="1" customWidth="1"/>
    <col min="8" max="8" width="13.1328125" style="47" bestFit="1" customWidth="1"/>
    <col min="9" max="10" width="9.59765625" style="47" bestFit="1" customWidth="1"/>
    <col min="11" max="11" width="3.86328125" style="47" bestFit="1" customWidth="1"/>
    <col min="12" max="13" width="9.59765625" style="47" bestFit="1" customWidth="1"/>
    <col min="14" max="14" width="9.1328125" style="47" bestFit="1" customWidth="1"/>
    <col min="15" max="15" width="8.59765625" style="47" bestFit="1" customWidth="1"/>
    <col min="16" max="16" width="17.3984375" style="47" bestFit="1" customWidth="1"/>
    <col min="17" max="18" width="14.73046875" style="47" bestFit="1" customWidth="1"/>
    <col min="19" max="19" width="8.73046875" style="47" bestFit="1" customWidth="1"/>
    <col min="20" max="20" width="11.265625" style="47" bestFit="1" customWidth="1"/>
    <col min="21" max="21" width="17.3984375" style="47" bestFit="1" customWidth="1"/>
    <col min="22" max="22" width="13.73046875" style="47" bestFit="1" customWidth="1"/>
    <col min="23" max="23" width="14.73046875" style="47" bestFit="1" customWidth="1"/>
    <col min="24" max="25" width="8.73046875" style="47" bestFit="1" customWidth="1"/>
    <col min="26" max="26" width="15.73046875" style="47" bestFit="1" customWidth="1"/>
    <col min="27" max="27" width="22.1328125" style="47" bestFit="1" customWidth="1"/>
    <col min="28" max="33" width="9.59765625" style="47" bestFit="1" customWidth="1"/>
    <col min="34" max="16384" width="11.3984375" style="47"/>
  </cols>
  <sheetData>
    <row r="1" spans="1:33" s="93" customFormat="1" ht="15.75" x14ac:dyDescent="0.45">
      <c r="A1" s="25" t="s">
        <v>1</v>
      </c>
      <c r="B1" s="25" t="s">
        <v>2</v>
      </c>
      <c r="C1" s="25" t="s">
        <v>3</v>
      </c>
      <c r="D1" s="25" t="s">
        <v>4</v>
      </c>
      <c r="E1" s="25" t="s">
        <v>116</v>
      </c>
      <c r="F1" s="25" t="s">
        <v>6</v>
      </c>
      <c r="G1" s="25" t="s">
        <v>7</v>
      </c>
      <c r="H1" s="25" t="s">
        <v>8</v>
      </c>
      <c r="I1" s="25" t="s">
        <v>9</v>
      </c>
      <c r="J1" s="25" t="s">
        <v>10</v>
      </c>
      <c r="K1" s="25" t="s">
        <v>117</v>
      </c>
      <c r="L1" s="25" t="s">
        <v>118</v>
      </c>
      <c r="M1" s="25" t="s">
        <v>119</v>
      </c>
      <c r="N1" s="25" t="s">
        <v>14</v>
      </c>
      <c r="O1" s="25" t="s">
        <v>15</v>
      </c>
      <c r="P1" s="25" t="s">
        <v>16</v>
      </c>
      <c r="Q1" s="25" t="s">
        <v>17</v>
      </c>
      <c r="R1" s="25" t="s">
        <v>18</v>
      </c>
      <c r="S1" s="25" t="s">
        <v>19</v>
      </c>
      <c r="T1" s="25" t="s">
        <v>20</v>
      </c>
      <c r="U1" s="25" t="s">
        <v>21</v>
      </c>
      <c r="V1" s="25" t="s">
        <v>22</v>
      </c>
      <c r="W1" s="25" t="s">
        <v>23</v>
      </c>
      <c r="X1" s="25" t="s">
        <v>24</v>
      </c>
      <c r="Y1" s="25" t="s">
        <v>120</v>
      </c>
      <c r="Z1" s="25" t="s">
        <v>26</v>
      </c>
      <c r="AA1" s="25" t="s">
        <v>27</v>
      </c>
      <c r="AB1" s="49" t="s">
        <v>28</v>
      </c>
      <c r="AC1" s="49" t="s">
        <v>29</v>
      </c>
      <c r="AD1" s="49" t="s">
        <v>30</v>
      </c>
      <c r="AE1" s="49" t="s">
        <v>28</v>
      </c>
      <c r="AF1" s="49" t="s">
        <v>29</v>
      </c>
      <c r="AG1" s="49" t="s">
        <v>30</v>
      </c>
    </row>
    <row r="2" spans="1:33" s="93" customFormat="1" ht="32.25" x14ac:dyDescent="0.45">
      <c r="A2" s="25" t="s">
        <v>731</v>
      </c>
      <c r="B2" s="25" t="s">
        <v>31</v>
      </c>
      <c r="C2" s="25" t="s">
        <v>32</v>
      </c>
      <c r="D2" s="25" t="s">
        <v>32</v>
      </c>
      <c r="E2" s="25" t="s">
        <v>32</v>
      </c>
      <c r="F2" s="25" t="s">
        <v>32</v>
      </c>
      <c r="G2" s="25" t="s">
        <v>32</v>
      </c>
      <c r="H2" s="25" t="s">
        <v>33</v>
      </c>
      <c r="I2" s="25" t="s">
        <v>32</v>
      </c>
      <c r="J2" s="25" t="s">
        <v>32</v>
      </c>
      <c r="K2" s="25" t="s">
        <v>34</v>
      </c>
      <c r="L2" s="25" t="s">
        <v>32</v>
      </c>
      <c r="M2" s="25" t="s">
        <v>32</v>
      </c>
      <c r="N2" s="25" t="s">
        <v>35</v>
      </c>
      <c r="O2" s="25" t="s">
        <v>36</v>
      </c>
      <c r="P2" s="25" t="s">
        <v>37</v>
      </c>
      <c r="Q2" s="25" t="s">
        <v>38</v>
      </c>
      <c r="R2" s="25" t="s">
        <v>38</v>
      </c>
      <c r="S2" s="25" t="s">
        <v>32</v>
      </c>
      <c r="T2" s="25" t="s">
        <v>33</v>
      </c>
      <c r="U2" s="25" t="s">
        <v>37</v>
      </c>
      <c r="V2" s="25" t="s">
        <v>38</v>
      </c>
      <c r="W2" s="25" t="s">
        <v>38</v>
      </c>
      <c r="X2" s="25" t="s">
        <v>32</v>
      </c>
      <c r="Y2" s="25" t="s">
        <v>32</v>
      </c>
      <c r="Z2" s="25" t="s">
        <v>37</v>
      </c>
      <c r="AA2" s="25" t="s">
        <v>39</v>
      </c>
      <c r="AB2" s="50" t="s">
        <v>732</v>
      </c>
      <c r="AC2" s="50" t="s">
        <v>732</v>
      </c>
      <c r="AD2" s="50" t="s">
        <v>732</v>
      </c>
      <c r="AE2" s="50" t="s">
        <v>733</v>
      </c>
      <c r="AF2" s="50" t="s">
        <v>733</v>
      </c>
      <c r="AG2" s="50" t="s">
        <v>733</v>
      </c>
    </row>
    <row r="3" spans="1:33" ht="28.5" x14ac:dyDescent="0.45">
      <c r="A3" s="29" t="s">
        <v>382</v>
      </c>
      <c r="B3" s="29">
        <v>54.1</v>
      </c>
      <c r="C3" s="29">
        <v>244</v>
      </c>
      <c r="D3" s="29">
        <v>260</v>
      </c>
      <c r="E3" s="29">
        <v>6.5</v>
      </c>
      <c r="F3" s="29">
        <v>9.5</v>
      </c>
      <c r="G3" s="29">
        <v>24</v>
      </c>
      <c r="H3" s="29">
        <v>6900</v>
      </c>
      <c r="I3" s="29">
        <v>225</v>
      </c>
      <c r="J3" s="29">
        <v>177</v>
      </c>
      <c r="K3" s="29" t="s">
        <v>108</v>
      </c>
      <c r="L3" s="29">
        <v>110</v>
      </c>
      <c r="M3" s="29">
        <v>158</v>
      </c>
      <c r="N3" s="29">
        <v>1.474</v>
      </c>
      <c r="O3" s="29">
        <v>27.22</v>
      </c>
      <c r="P3" s="29">
        <v>79810000</v>
      </c>
      <c r="Q3" s="29">
        <v>654100</v>
      </c>
      <c r="R3" s="29">
        <v>714500</v>
      </c>
      <c r="S3" s="29">
        <v>107.6</v>
      </c>
      <c r="T3" s="29">
        <v>2475</v>
      </c>
      <c r="U3" s="29">
        <v>27880000</v>
      </c>
      <c r="V3" s="29">
        <v>214500</v>
      </c>
      <c r="W3" s="28">
        <v>327700</v>
      </c>
      <c r="X3" s="28">
        <v>63.6</v>
      </c>
      <c r="Y3" s="29">
        <v>53.62</v>
      </c>
      <c r="Z3" s="28">
        <v>303100</v>
      </c>
      <c r="AA3" s="28">
        <v>382600000000</v>
      </c>
      <c r="AB3" s="28">
        <v>3</v>
      </c>
      <c r="AC3" s="28">
        <v>3</v>
      </c>
      <c r="AD3" s="28">
        <v>4</v>
      </c>
      <c r="AE3" s="28">
        <v>3</v>
      </c>
      <c r="AF3" s="28">
        <v>3</v>
      </c>
      <c r="AG3" s="28">
        <v>4</v>
      </c>
    </row>
    <row r="4" spans="1:33" ht="28.5" x14ac:dyDescent="0.45">
      <c r="A4" s="43" t="s">
        <v>383</v>
      </c>
      <c r="B4" s="31">
        <v>68.2</v>
      </c>
      <c r="C4" s="30">
        <v>250</v>
      </c>
      <c r="D4" s="31">
        <v>260</v>
      </c>
      <c r="E4" s="31">
        <v>7.5</v>
      </c>
      <c r="F4" s="31">
        <v>12.5</v>
      </c>
      <c r="G4" s="31">
        <v>24</v>
      </c>
      <c r="H4" s="30">
        <v>8680</v>
      </c>
      <c r="I4" s="30">
        <v>225</v>
      </c>
      <c r="J4" s="31">
        <v>177</v>
      </c>
      <c r="K4" s="32" t="s">
        <v>110</v>
      </c>
      <c r="L4" s="31">
        <v>110</v>
      </c>
      <c r="M4" s="31">
        <v>158</v>
      </c>
      <c r="N4" s="30">
        <v>1.484</v>
      </c>
      <c r="O4" s="31">
        <v>21.77</v>
      </c>
      <c r="P4" s="33">
        <v>104500000</v>
      </c>
      <c r="Q4" s="32">
        <v>836400</v>
      </c>
      <c r="R4" s="32">
        <v>919800</v>
      </c>
      <c r="S4" s="32">
        <v>109.7</v>
      </c>
      <c r="T4" s="32">
        <v>2876</v>
      </c>
      <c r="U4" s="33">
        <v>36680000</v>
      </c>
      <c r="V4" s="32">
        <v>282100</v>
      </c>
      <c r="W4" s="32">
        <v>430200</v>
      </c>
      <c r="X4" s="32">
        <v>65</v>
      </c>
      <c r="Y4" s="33">
        <v>60.62</v>
      </c>
      <c r="Z4" s="32">
        <v>523700</v>
      </c>
      <c r="AA4" s="32">
        <v>516400000000</v>
      </c>
      <c r="AB4" s="32">
        <v>1</v>
      </c>
      <c r="AC4" s="32">
        <v>3</v>
      </c>
      <c r="AD4" s="32">
        <v>3</v>
      </c>
      <c r="AE4" s="32">
        <v>1</v>
      </c>
      <c r="AF4" s="32">
        <v>3</v>
      </c>
      <c r="AG4" s="111">
        <v>3</v>
      </c>
    </row>
    <row r="5" spans="1:33" ht="28.5" x14ac:dyDescent="0.45">
      <c r="A5" s="40" t="s">
        <v>384</v>
      </c>
      <c r="B5" s="36">
        <v>93</v>
      </c>
      <c r="C5" s="35">
        <v>260</v>
      </c>
      <c r="D5" s="36">
        <v>260</v>
      </c>
      <c r="E5" s="36">
        <v>10</v>
      </c>
      <c r="F5" s="36">
        <v>17.5</v>
      </c>
      <c r="G5" s="36">
        <v>24</v>
      </c>
      <c r="H5" s="35">
        <v>11840</v>
      </c>
      <c r="I5" s="35">
        <v>225</v>
      </c>
      <c r="J5" s="36">
        <v>177</v>
      </c>
      <c r="K5" s="37" t="s">
        <v>108</v>
      </c>
      <c r="L5" s="36">
        <v>114</v>
      </c>
      <c r="M5" s="36">
        <v>158</v>
      </c>
      <c r="N5" s="35">
        <v>1.4990000000000001</v>
      </c>
      <c r="O5" s="36">
        <v>16.12</v>
      </c>
      <c r="P5" s="40">
        <v>149200000</v>
      </c>
      <c r="Q5" s="37">
        <v>1148000</v>
      </c>
      <c r="R5" s="37">
        <v>1283000</v>
      </c>
      <c r="S5" s="37">
        <v>112.2</v>
      </c>
      <c r="T5" s="37">
        <v>3759.0000000000005</v>
      </c>
      <c r="U5" s="40">
        <v>51350000</v>
      </c>
      <c r="V5" s="37">
        <v>395000</v>
      </c>
      <c r="W5" s="37">
        <v>602200</v>
      </c>
      <c r="X5" s="37">
        <v>65.8</v>
      </c>
      <c r="Y5" s="40">
        <v>73.12</v>
      </c>
      <c r="Z5" s="37">
        <v>1238000</v>
      </c>
      <c r="AA5" s="37">
        <v>753700000000</v>
      </c>
      <c r="AB5" s="37">
        <v>1</v>
      </c>
      <c r="AC5" s="37">
        <v>1</v>
      </c>
      <c r="AD5" s="37">
        <v>1</v>
      </c>
      <c r="AE5" s="37">
        <v>1</v>
      </c>
      <c r="AF5" s="37">
        <v>1</v>
      </c>
      <c r="AG5" s="112">
        <v>1</v>
      </c>
    </row>
    <row r="6" spans="1:33" ht="28.5" x14ac:dyDescent="0.45">
      <c r="A6" s="43" t="s">
        <v>385</v>
      </c>
      <c r="B6" s="31">
        <v>114</v>
      </c>
      <c r="C6" s="30">
        <v>268</v>
      </c>
      <c r="D6" s="31">
        <v>262</v>
      </c>
      <c r="E6" s="31">
        <v>12.5</v>
      </c>
      <c r="F6" s="31">
        <v>21.5</v>
      </c>
      <c r="G6" s="31">
        <v>24</v>
      </c>
      <c r="H6" s="30">
        <v>14569.999999999998</v>
      </c>
      <c r="I6" s="30">
        <v>225</v>
      </c>
      <c r="J6" s="31">
        <v>177</v>
      </c>
      <c r="K6" s="32" t="s">
        <v>110</v>
      </c>
      <c r="L6" s="31">
        <v>116</v>
      </c>
      <c r="M6" s="31">
        <v>160</v>
      </c>
      <c r="N6" s="30">
        <v>1.518</v>
      </c>
      <c r="O6" s="31">
        <v>13.27</v>
      </c>
      <c r="P6" s="33">
        <v>189100000</v>
      </c>
      <c r="Q6" s="32">
        <v>1411000</v>
      </c>
      <c r="R6" s="32">
        <v>1600000</v>
      </c>
      <c r="S6" s="32">
        <v>113.9</v>
      </c>
      <c r="T6" s="32">
        <v>4608</v>
      </c>
      <c r="U6" s="33">
        <v>64560000</v>
      </c>
      <c r="V6" s="32">
        <v>492800</v>
      </c>
      <c r="W6" s="32">
        <v>752500</v>
      </c>
      <c r="X6" s="32">
        <v>66.599999999999994</v>
      </c>
      <c r="Y6" s="33">
        <v>83.62</v>
      </c>
      <c r="Z6" s="32">
        <v>2224000</v>
      </c>
      <c r="AA6" s="32">
        <v>979000000000</v>
      </c>
      <c r="AB6" s="32">
        <v>1</v>
      </c>
      <c r="AC6" s="32">
        <v>1</v>
      </c>
      <c r="AD6" s="32">
        <v>1</v>
      </c>
      <c r="AE6" s="32">
        <v>1</v>
      </c>
      <c r="AF6" s="32">
        <v>1</v>
      </c>
      <c r="AG6" s="111">
        <v>1</v>
      </c>
    </row>
    <row r="7" spans="1:33" ht="24.75" customHeight="1" x14ac:dyDescent="0.45">
      <c r="A7" s="40" t="s">
        <v>386</v>
      </c>
      <c r="B7" s="36">
        <v>142</v>
      </c>
      <c r="C7" s="35">
        <v>278</v>
      </c>
      <c r="D7" s="36">
        <v>265</v>
      </c>
      <c r="E7" s="36">
        <v>15.5</v>
      </c>
      <c r="F7" s="36">
        <v>26.5</v>
      </c>
      <c r="G7" s="36">
        <v>24</v>
      </c>
      <c r="H7" s="35">
        <v>18030</v>
      </c>
      <c r="I7" s="35">
        <v>225</v>
      </c>
      <c r="J7" s="36">
        <v>177</v>
      </c>
      <c r="K7" s="37" t="s">
        <v>108</v>
      </c>
      <c r="L7" s="36">
        <v>120</v>
      </c>
      <c r="M7" s="36">
        <v>164</v>
      </c>
      <c r="N7" s="35">
        <v>1.544</v>
      </c>
      <c r="O7" s="36">
        <v>10.91</v>
      </c>
      <c r="P7" s="40">
        <v>243300000</v>
      </c>
      <c r="Q7" s="37">
        <v>1750000</v>
      </c>
      <c r="R7" s="37">
        <v>2015000</v>
      </c>
      <c r="S7" s="37">
        <v>116.19999999999999</v>
      </c>
      <c r="T7" s="37">
        <v>5665</v>
      </c>
      <c r="U7" s="40">
        <v>82360000</v>
      </c>
      <c r="V7" s="37">
        <v>621600</v>
      </c>
      <c r="W7" s="37">
        <v>950500</v>
      </c>
      <c r="X7" s="37">
        <v>67.599999999999994</v>
      </c>
      <c r="Y7" s="40">
        <v>96.62</v>
      </c>
      <c r="Z7" s="37">
        <v>4068000</v>
      </c>
      <c r="AA7" s="37">
        <v>1300000000000</v>
      </c>
      <c r="AB7" s="37">
        <v>1</v>
      </c>
      <c r="AC7" s="37">
        <v>1</v>
      </c>
      <c r="AD7" s="37">
        <v>1</v>
      </c>
      <c r="AE7" s="37">
        <v>1</v>
      </c>
      <c r="AF7" s="37">
        <v>1</v>
      </c>
      <c r="AG7" s="112">
        <v>1</v>
      </c>
    </row>
    <row r="8" spans="1:33" ht="28.5" x14ac:dyDescent="0.45">
      <c r="A8" s="43" t="s">
        <v>387</v>
      </c>
      <c r="B8" s="31">
        <v>172</v>
      </c>
      <c r="C8" s="30">
        <v>290</v>
      </c>
      <c r="D8" s="31">
        <v>268</v>
      </c>
      <c r="E8" s="31">
        <v>18</v>
      </c>
      <c r="F8" s="31">
        <v>32.5</v>
      </c>
      <c r="G8" s="31">
        <v>24</v>
      </c>
      <c r="H8" s="30">
        <v>21960</v>
      </c>
      <c r="I8" s="30">
        <v>225</v>
      </c>
      <c r="J8" s="31">
        <v>177</v>
      </c>
      <c r="K8" s="32" t="s">
        <v>110</v>
      </c>
      <c r="L8" s="31">
        <v>122</v>
      </c>
      <c r="M8" s="31">
        <v>166</v>
      </c>
      <c r="N8" s="30">
        <v>1.575</v>
      </c>
      <c r="O8" s="31">
        <v>9.1329999999999991</v>
      </c>
      <c r="P8" s="33">
        <v>313100000</v>
      </c>
      <c r="Q8" s="32">
        <v>2159000</v>
      </c>
      <c r="R8" s="32">
        <v>2524000</v>
      </c>
      <c r="S8" s="32">
        <v>119.39999999999999</v>
      </c>
      <c r="T8" s="32">
        <v>6689</v>
      </c>
      <c r="U8" s="33">
        <v>104500000</v>
      </c>
      <c r="V8" s="32">
        <v>779700</v>
      </c>
      <c r="W8" s="32">
        <v>1192000</v>
      </c>
      <c r="X8" s="32">
        <v>69</v>
      </c>
      <c r="Y8" s="33">
        <v>111.1</v>
      </c>
      <c r="Z8" s="32">
        <v>7190000</v>
      </c>
      <c r="AA8" s="32">
        <v>1728000000000</v>
      </c>
      <c r="AB8" s="32">
        <v>1</v>
      </c>
      <c r="AC8" s="32">
        <v>1</v>
      </c>
      <c r="AD8" s="32">
        <v>1</v>
      </c>
      <c r="AE8" s="32">
        <v>1</v>
      </c>
      <c r="AF8" s="32">
        <v>1</v>
      </c>
      <c r="AG8" s="111">
        <v>1</v>
      </c>
    </row>
    <row r="9" spans="1:33" ht="28.5" x14ac:dyDescent="0.45">
      <c r="A9" s="43" t="s">
        <v>388</v>
      </c>
      <c r="B9" s="31">
        <v>74.2</v>
      </c>
      <c r="C9" s="30">
        <v>301</v>
      </c>
      <c r="D9" s="31">
        <v>300</v>
      </c>
      <c r="E9" s="31">
        <v>8</v>
      </c>
      <c r="F9" s="31">
        <v>11</v>
      </c>
      <c r="G9" s="31">
        <v>27</v>
      </c>
      <c r="H9" s="30">
        <v>9460</v>
      </c>
      <c r="I9" s="30">
        <v>279</v>
      </c>
      <c r="J9" s="31">
        <v>225</v>
      </c>
      <c r="K9" s="32" t="s">
        <v>110</v>
      </c>
      <c r="L9" s="31">
        <v>118</v>
      </c>
      <c r="M9" s="31">
        <v>198</v>
      </c>
      <c r="N9" s="30">
        <v>1.74</v>
      </c>
      <c r="O9" s="31">
        <v>23.43</v>
      </c>
      <c r="P9" s="33">
        <v>164500000</v>
      </c>
      <c r="Q9" s="32">
        <v>1093000</v>
      </c>
      <c r="R9" s="32">
        <v>1196000</v>
      </c>
      <c r="S9" s="32">
        <v>131.9</v>
      </c>
      <c r="T9" s="32">
        <v>3540</v>
      </c>
      <c r="U9" s="33">
        <v>49590000</v>
      </c>
      <c r="V9" s="32">
        <v>330600</v>
      </c>
      <c r="W9" s="32">
        <v>505700</v>
      </c>
      <c r="X9" s="32">
        <v>72.400000000000006</v>
      </c>
      <c r="Y9" s="33">
        <v>61.63</v>
      </c>
      <c r="Z9" s="32">
        <v>558700</v>
      </c>
      <c r="AA9" s="32">
        <v>1041000000000</v>
      </c>
      <c r="AB9" s="32">
        <v>3</v>
      </c>
      <c r="AC9" s="32">
        <v>3</v>
      </c>
      <c r="AD9" s="32">
        <v>4</v>
      </c>
      <c r="AE9" s="32">
        <v>3</v>
      </c>
      <c r="AF9" s="32">
        <v>3</v>
      </c>
      <c r="AG9" s="111">
        <v>4</v>
      </c>
    </row>
    <row r="10" spans="1:33" ht="28.5" x14ac:dyDescent="0.45">
      <c r="A10" s="40" t="s">
        <v>389</v>
      </c>
      <c r="B10" s="36">
        <v>97.6</v>
      </c>
      <c r="C10" s="35">
        <v>310</v>
      </c>
      <c r="D10" s="36">
        <v>300</v>
      </c>
      <c r="E10" s="36">
        <v>9</v>
      </c>
      <c r="F10" s="36">
        <v>15.5</v>
      </c>
      <c r="G10" s="36">
        <v>27</v>
      </c>
      <c r="H10" s="35">
        <v>12440</v>
      </c>
      <c r="I10" s="35">
        <v>279</v>
      </c>
      <c r="J10" s="36">
        <v>225</v>
      </c>
      <c r="K10" s="37" t="s">
        <v>108</v>
      </c>
      <c r="L10" s="36">
        <v>118</v>
      </c>
      <c r="M10" s="36">
        <v>198</v>
      </c>
      <c r="N10" s="35">
        <v>1.756</v>
      </c>
      <c r="O10" s="36">
        <v>17.98</v>
      </c>
      <c r="P10" s="40">
        <v>229300000</v>
      </c>
      <c r="Q10" s="37">
        <v>1479000</v>
      </c>
      <c r="R10" s="37">
        <v>1628000</v>
      </c>
      <c r="S10" s="37">
        <v>135.80000000000001</v>
      </c>
      <c r="T10" s="37">
        <v>4113</v>
      </c>
      <c r="U10" s="40">
        <v>69850000</v>
      </c>
      <c r="V10" s="37">
        <v>465700</v>
      </c>
      <c r="W10" s="37">
        <v>709700</v>
      </c>
      <c r="X10" s="37">
        <v>74.900000000000006</v>
      </c>
      <c r="Y10" s="40">
        <v>71.63</v>
      </c>
      <c r="Z10" s="37">
        <v>1080000</v>
      </c>
      <c r="AA10" s="37">
        <v>1512000000000</v>
      </c>
      <c r="AB10" s="37">
        <v>1</v>
      </c>
      <c r="AC10" s="37">
        <v>2</v>
      </c>
      <c r="AD10" s="37">
        <v>3</v>
      </c>
      <c r="AE10" s="37">
        <v>1</v>
      </c>
      <c r="AF10" s="37">
        <v>2</v>
      </c>
      <c r="AG10" s="112">
        <v>3</v>
      </c>
    </row>
    <row r="11" spans="1:33" ht="28.5" x14ac:dyDescent="0.45">
      <c r="A11" s="43" t="s">
        <v>390</v>
      </c>
      <c r="B11" s="31">
        <v>127</v>
      </c>
      <c r="C11" s="30">
        <v>320</v>
      </c>
      <c r="D11" s="31">
        <v>300</v>
      </c>
      <c r="E11" s="31">
        <v>11.5</v>
      </c>
      <c r="F11" s="31">
        <v>20.5</v>
      </c>
      <c r="G11" s="31">
        <v>27</v>
      </c>
      <c r="H11" s="30">
        <v>16130.000000000002</v>
      </c>
      <c r="I11" s="30">
        <v>279</v>
      </c>
      <c r="J11" s="31">
        <v>225</v>
      </c>
      <c r="K11" s="32" t="s">
        <v>110</v>
      </c>
      <c r="L11" s="31">
        <v>122</v>
      </c>
      <c r="M11" s="31">
        <v>198</v>
      </c>
      <c r="N11" s="30">
        <v>1.7709999999999999</v>
      </c>
      <c r="O11" s="31">
        <v>13.98</v>
      </c>
      <c r="P11" s="33">
        <v>308200000</v>
      </c>
      <c r="Q11" s="32">
        <v>1926000</v>
      </c>
      <c r="R11" s="32">
        <v>2149000</v>
      </c>
      <c r="S11" s="32">
        <v>138.19999999999999</v>
      </c>
      <c r="T11" s="32">
        <v>5177</v>
      </c>
      <c r="U11" s="33">
        <v>92390000</v>
      </c>
      <c r="V11" s="32">
        <v>615900</v>
      </c>
      <c r="W11" s="32">
        <v>939100</v>
      </c>
      <c r="X11" s="32">
        <v>75.7</v>
      </c>
      <c r="Y11" s="33">
        <v>84.13</v>
      </c>
      <c r="Z11" s="32">
        <v>2251000</v>
      </c>
      <c r="AA11" s="32">
        <v>2069000000000</v>
      </c>
      <c r="AB11" s="32">
        <v>1</v>
      </c>
      <c r="AC11" s="32">
        <v>1</v>
      </c>
      <c r="AD11" s="32">
        <v>1</v>
      </c>
      <c r="AE11" s="32">
        <v>1</v>
      </c>
      <c r="AF11" s="32">
        <v>1</v>
      </c>
      <c r="AG11" s="111">
        <v>1</v>
      </c>
    </row>
    <row r="12" spans="1:33" ht="28.5" x14ac:dyDescent="0.45">
      <c r="A12" s="40" t="s">
        <v>391</v>
      </c>
      <c r="B12" s="36">
        <v>158</v>
      </c>
      <c r="C12" s="35">
        <v>330</v>
      </c>
      <c r="D12" s="36">
        <v>303</v>
      </c>
      <c r="E12" s="36">
        <v>14.5</v>
      </c>
      <c r="F12" s="36">
        <v>25.5</v>
      </c>
      <c r="G12" s="36">
        <v>27</v>
      </c>
      <c r="H12" s="35">
        <v>20120</v>
      </c>
      <c r="I12" s="35">
        <v>279</v>
      </c>
      <c r="J12" s="36">
        <v>225</v>
      </c>
      <c r="K12" s="37" t="s">
        <v>108</v>
      </c>
      <c r="L12" s="36">
        <v>124</v>
      </c>
      <c r="M12" s="36">
        <v>202</v>
      </c>
      <c r="N12" s="35">
        <v>1.7969999999999999</v>
      </c>
      <c r="O12" s="36">
        <v>11.37</v>
      </c>
      <c r="P12" s="40">
        <v>396400000</v>
      </c>
      <c r="Q12" s="37">
        <v>2403000</v>
      </c>
      <c r="R12" s="37">
        <v>2718000</v>
      </c>
      <c r="S12" s="37">
        <v>140.39999999999998</v>
      </c>
      <c r="T12" s="37">
        <v>6418.0000000000009</v>
      </c>
      <c r="U12" s="40">
        <v>118400000</v>
      </c>
      <c r="V12" s="37">
        <v>781700</v>
      </c>
      <c r="W12" s="37">
        <v>1194000</v>
      </c>
      <c r="X12" s="37">
        <v>76.7</v>
      </c>
      <c r="Y12" s="40">
        <v>97.13</v>
      </c>
      <c r="Z12" s="37">
        <v>4205000</v>
      </c>
      <c r="AA12" s="37">
        <v>2741000000000</v>
      </c>
      <c r="AB12" s="37">
        <v>1</v>
      </c>
      <c r="AC12" s="37">
        <v>1</v>
      </c>
      <c r="AD12" s="37">
        <v>1</v>
      </c>
      <c r="AE12" s="37">
        <v>1</v>
      </c>
      <c r="AF12" s="37">
        <v>1</v>
      </c>
      <c r="AG12" s="112">
        <v>1</v>
      </c>
    </row>
    <row r="13" spans="1:33" ht="28.5" x14ac:dyDescent="0.45">
      <c r="A13" s="43" t="s">
        <v>392</v>
      </c>
      <c r="B13" s="31">
        <v>198</v>
      </c>
      <c r="C13" s="30">
        <v>343</v>
      </c>
      <c r="D13" s="31">
        <v>306</v>
      </c>
      <c r="E13" s="31">
        <v>18</v>
      </c>
      <c r="F13" s="31">
        <v>32</v>
      </c>
      <c r="G13" s="31">
        <v>27</v>
      </c>
      <c r="H13" s="30">
        <v>25230</v>
      </c>
      <c r="I13" s="30">
        <v>279</v>
      </c>
      <c r="J13" s="31">
        <v>225</v>
      </c>
      <c r="K13" s="32" t="s">
        <v>110</v>
      </c>
      <c r="L13" s="31">
        <v>128</v>
      </c>
      <c r="M13" s="31">
        <v>204</v>
      </c>
      <c r="N13" s="30">
        <v>1.8280000000000001</v>
      </c>
      <c r="O13" s="31">
        <v>9.2270000000000003</v>
      </c>
      <c r="P13" s="33">
        <v>519000000</v>
      </c>
      <c r="Q13" s="32">
        <v>3026000</v>
      </c>
      <c r="R13" s="32">
        <v>3479000</v>
      </c>
      <c r="S13" s="32">
        <v>143.4</v>
      </c>
      <c r="T13" s="32">
        <v>7952</v>
      </c>
      <c r="U13" s="33">
        <v>153100000</v>
      </c>
      <c r="V13" s="32">
        <v>1001000</v>
      </c>
      <c r="W13" s="32">
        <v>1530000</v>
      </c>
      <c r="X13" s="32">
        <v>77.900000000000006</v>
      </c>
      <c r="Y13" s="33">
        <v>113.6</v>
      </c>
      <c r="Z13" s="32">
        <v>8053000</v>
      </c>
      <c r="AA13" s="32">
        <v>3695000000000</v>
      </c>
      <c r="AB13" s="32">
        <v>1</v>
      </c>
      <c r="AC13" s="32">
        <v>1</v>
      </c>
      <c r="AD13" s="32">
        <v>1</v>
      </c>
      <c r="AE13" s="32">
        <v>1</v>
      </c>
      <c r="AF13" s="32">
        <v>1</v>
      </c>
      <c r="AG13" s="111">
        <v>1</v>
      </c>
    </row>
    <row r="14" spans="1:33" ht="28.5" x14ac:dyDescent="0.45">
      <c r="A14" s="40" t="s">
        <v>393</v>
      </c>
      <c r="B14" s="36">
        <v>245</v>
      </c>
      <c r="C14" s="35">
        <v>359</v>
      </c>
      <c r="D14" s="36">
        <v>309</v>
      </c>
      <c r="E14" s="36">
        <v>21</v>
      </c>
      <c r="F14" s="36">
        <v>40</v>
      </c>
      <c r="G14" s="36">
        <v>27</v>
      </c>
      <c r="H14" s="35">
        <v>31200</v>
      </c>
      <c r="I14" s="35">
        <v>279</v>
      </c>
      <c r="J14" s="36">
        <v>225</v>
      </c>
      <c r="K14" s="37" t="s">
        <v>108</v>
      </c>
      <c r="L14" s="36">
        <v>132</v>
      </c>
      <c r="M14" s="36">
        <v>204</v>
      </c>
      <c r="N14" s="35">
        <v>1.8660000000000001</v>
      </c>
      <c r="O14" s="36">
        <v>7.6159999999999997</v>
      </c>
      <c r="P14" s="40">
        <v>681300000</v>
      </c>
      <c r="Q14" s="37">
        <v>3796000</v>
      </c>
      <c r="R14" s="37">
        <v>4435000</v>
      </c>
      <c r="S14" s="37">
        <v>147.79999999999998</v>
      </c>
      <c r="T14" s="37">
        <v>9485</v>
      </c>
      <c r="U14" s="40">
        <v>197100000</v>
      </c>
      <c r="V14" s="37">
        <v>1276000</v>
      </c>
      <c r="W14" s="37">
        <v>1951000</v>
      </c>
      <c r="X14" s="37">
        <v>79.5</v>
      </c>
      <c r="Y14" s="40">
        <v>132.6</v>
      </c>
      <c r="Z14" s="37">
        <v>15010000</v>
      </c>
      <c r="AA14" s="37">
        <v>5004000000000</v>
      </c>
      <c r="AB14" s="37">
        <v>1</v>
      </c>
      <c r="AC14" s="37">
        <v>1</v>
      </c>
      <c r="AD14" s="37">
        <v>1</v>
      </c>
      <c r="AE14" s="37">
        <v>1</v>
      </c>
      <c r="AF14" s="37">
        <v>1</v>
      </c>
      <c r="AG14" s="112">
        <v>1</v>
      </c>
    </row>
    <row r="15" spans="1:33" ht="28.5" x14ac:dyDescent="0.45">
      <c r="A15" s="43" t="s">
        <v>394</v>
      </c>
      <c r="B15" s="31">
        <v>300</v>
      </c>
      <c r="C15" s="30">
        <v>375</v>
      </c>
      <c r="D15" s="31">
        <v>313</v>
      </c>
      <c r="E15" s="31">
        <v>27</v>
      </c>
      <c r="F15" s="31">
        <v>48</v>
      </c>
      <c r="G15" s="31">
        <v>27</v>
      </c>
      <c r="H15" s="30">
        <v>38210</v>
      </c>
      <c r="I15" s="30">
        <v>279</v>
      </c>
      <c r="J15" s="31">
        <v>225</v>
      </c>
      <c r="K15" s="32" t="s">
        <v>110</v>
      </c>
      <c r="L15" s="31">
        <v>138</v>
      </c>
      <c r="M15" s="31">
        <v>208</v>
      </c>
      <c r="N15" s="30">
        <v>1.9019999999999999</v>
      </c>
      <c r="O15" s="31">
        <v>6.34</v>
      </c>
      <c r="P15" s="33">
        <v>869000000</v>
      </c>
      <c r="Q15" s="32">
        <v>4635000</v>
      </c>
      <c r="R15" s="32">
        <v>5522000</v>
      </c>
      <c r="S15" s="32">
        <v>150.80000000000001</v>
      </c>
      <c r="T15" s="32">
        <v>12047</v>
      </c>
      <c r="U15" s="33">
        <v>246000000</v>
      </c>
      <c r="V15" s="32">
        <v>1572000</v>
      </c>
      <c r="W15" s="32">
        <v>2414000</v>
      </c>
      <c r="X15" s="32">
        <v>80.199999999999989</v>
      </c>
      <c r="Y15" s="33">
        <v>154.6</v>
      </c>
      <c r="Z15" s="32">
        <v>26500000</v>
      </c>
      <c r="AA15" s="32">
        <v>6558000000000</v>
      </c>
      <c r="AB15" s="32">
        <v>1</v>
      </c>
      <c r="AC15" s="32">
        <v>1</v>
      </c>
      <c r="AD15" s="32">
        <v>1</v>
      </c>
      <c r="AE15" s="32">
        <v>1</v>
      </c>
      <c r="AF15" s="32">
        <v>1</v>
      </c>
      <c r="AG15" s="111">
        <v>1</v>
      </c>
    </row>
    <row r="16" spans="1:33" ht="28.5" x14ac:dyDescent="0.45">
      <c r="A16" s="43" t="s">
        <v>395</v>
      </c>
      <c r="B16" s="31">
        <v>134</v>
      </c>
      <c r="C16" s="30">
        <v>356</v>
      </c>
      <c r="D16" s="31">
        <v>369</v>
      </c>
      <c r="E16" s="31">
        <v>11.2</v>
      </c>
      <c r="F16" s="31">
        <v>18</v>
      </c>
      <c r="G16" s="31">
        <v>15</v>
      </c>
      <c r="H16" s="30">
        <v>17060</v>
      </c>
      <c r="I16" s="30">
        <v>320</v>
      </c>
      <c r="J16" s="31">
        <v>290</v>
      </c>
      <c r="K16" s="32" t="s">
        <v>110</v>
      </c>
      <c r="L16" s="31">
        <v>100</v>
      </c>
      <c r="M16" s="31">
        <v>264</v>
      </c>
      <c r="N16" s="30">
        <v>2.14</v>
      </c>
      <c r="O16" s="31">
        <v>15.98</v>
      </c>
      <c r="P16" s="33">
        <v>415100000</v>
      </c>
      <c r="Q16" s="32">
        <v>2332000</v>
      </c>
      <c r="R16" s="32">
        <v>2562000</v>
      </c>
      <c r="S16" s="32">
        <v>156</v>
      </c>
      <c r="T16" s="32">
        <v>4519</v>
      </c>
      <c r="U16" s="33">
        <v>150800000</v>
      </c>
      <c r="V16" s="32">
        <v>817300</v>
      </c>
      <c r="W16" s="32">
        <v>1237000</v>
      </c>
      <c r="X16" s="32">
        <v>94</v>
      </c>
      <c r="Y16" s="33">
        <v>64.77</v>
      </c>
      <c r="Z16" s="32">
        <v>1688000</v>
      </c>
      <c r="AA16" s="32">
        <v>4305000000000</v>
      </c>
      <c r="AB16" s="32">
        <v>2</v>
      </c>
      <c r="AC16" s="32">
        <v>3</v>
      </c>
      <c r="AD16" s="32">
        <v>3</v>
      </c>
      <c r="AE16" s="32">
        <v>2</v>
      </c>
      <c r="AF16" s="32">
        <v>3</v>
      </c>
      <c r="AG16" s="111">
        <v>3</v>
      </c>
    </row>
    <row r="17" spans="1:33" ht="28.5" x14ac:dyDescent="0.45">
      <c r="A17" s="40" t="s">
        <v>396</v>
      </c>
      <c r="B17" s="36">
        <v>147</v>
      </c>
      <c r="C17" s="35">
        <v>360</v>
      </c>
      <c r="D17" s="36">
        <v>370</v>
      </c>
      <c r="E17" s="36">
        <v>12.3</v>
      </c>
      <c r="F17" s="36">
        <v>19.8</v>
      </c>
      <c r="G17" s="36">
        <v>15</v>
      </c>
      <c r="H17" s="35">
        <v>18790</v>
      </c>
      <c r="I17" s="35">
        <v>320.39999999999998</v>
      </c>
      <c r="J17" s="36">
        <v>290.39999999999998</v>
      </c>
      <c r="K17" s="37" t="s">
        <v>108</v>
      </c>
      <c r="L17" s="36">
        <v>100</v>
      </c>
      <c r="M17" s="36">
        <v>264</v>
      </c>
      <c r="N17" s="35">
        <v>2.15</v>
      </c>
      <c r="O17" s="36">
        <v>14.58</v>
      </c>
      <c r="P17" s="40">
        <v>462900000</v>
      </c>
      <c r="Q17" s="37">
        <v>2572000</v>
      </c>
      <c r="R17" s="37">
        <v>2838000</v>
      </c>
      <c r="S17" s="37">
        <v>157</v>
      </c>
      <c r="T17" s="37">
        <v>4972</v>
      </c>
      <c r="U17" s="40">
        <v>167200000</v>
      </c>
      <c r="V17" s="37">
        <v>903900</v>
      </c>
      <c r="W17" s="37">
        <v>1369000</v>
      </c>
      <c r="X17" s="37">
        <v>94.3</v>
      </c>
      <c r="Y17" s="40">
        <v>69.47</v>
      </c>
      <c r="Z17" s="37">
        <v>2237000</v>
      </c>
      <c r="AA17" s="37">
        <v>4836000000000</v>
      </c>
      <c r="AB17" s="37">
        <v>1</v>
      </c>
      <c r="AC17" s="37">
        <v>3</v>
      </c>
      <c r="AD17" s="37">
        <v>3</v>
      </c>
      <c r="AE17" s="37">
        <v>1</v>
      </c>
      <c r="AF17" s="37">
        <v>3</v>
      </c>
      <c r="AG17" s="112">
        <v>3</v>
      </c>
    </row>
    <row r="18" spans="1:33" ht="28.5" x14ac:dyDescent="0.45">
      <c r="A18" s="43" t="s">
        <v>397</v>
      </c>
      <c r="B18" s="31">
        <v>162</v>
      </c>
      <c r="C18" s="30">
        <v>364</v>
      </c>
      <c r="D18" s="31">
        <v>371</v>
      </c>
      <c r="E18" s="31">
        <v>13.3</v>
      </c>
      <c r="F18" s="31">
        <v>21.8</v>
      </c>
      <c r="G18" s="31">
        <v>15</v>
      </c>
      <c r="H18" s="30">
        <v>20630</v>
      </c>
      <c r="I18" s="30">
        <v>320.39999999999998</v>
      </c>
      <c r="J18" s="31">
        <v>290.39999999999998</v>
      </c>
      <c r="K18" s="32" t="s">
        <v>110</v>
      </c>
      <c r="L18" s="31">
        <v>102</v>
      </c>
      <c r="M18" s="31">
        <v>266</v>
      </c>
      <c r="N18" s="30">
        <v>2.16</v>
      </c>
      <c r="O18" s="31">
        <v>13.34</v>
      </c>
      <c r="P18" s="33">
        <v>515400000</v>
      </c>
      <c r="Q18" s="32">
        <v>2832000</v>
      </c>
      <c r="R18" s="32">
        <v>3139000</v>
      </c>
      <c r="S18" s="32">
        <v>158.1</v>
      </c>
      <c r="T18" s="32">
        <v>5398</v>
      </c>
      <c r="U18" s="33">
        <v>185600000</v>
      </c>
      <c r="V18" s="32">
        <v>1001000</v>
      </c>
      <c r="W18" s="32">
        <v>1516000</v>
      </c>
      <c r="X18" s="32">
        <v>94.9</v>
      </c>
      <c r="Y18" s="33">
        <v>74.47</v>
      </c>
      <c r="Z18" s="32">
        <v>2955000</v>
      </c>
      <c r="AA18" s="32">
        <v>5432000000000</v>
      </c>
      <c r="AB18" s="32">
        <v>1</v>
      </c>
      <c r="AC18" s="32">
        <v>2</v>
      </c>
      <c r="AD18" s="32">
        <v>3</v>
      </c>
      <c r="AE18" s="32">
        <v>1</v>
      </c>
      <c r="AF18" s="32">
        <v>2</v>
      </c>
      <c r="AG18" s="111">
        <v>3</v>
      </c>
    </row>
    <row r="19" spans="1:33" ht="28.5" x14ac:dyDescent="0.45">
      <c r="A19" s="40" t="s">
        <v>398</v>
      </c>
      <c r="B19" s="36">
        <v>179</v>
      </c>
      <c r="C19" s="35">
        <v>368</v>
      </c>
      <c r="D19" s="36">
        <v>373</v>
      </c>
      <c r="E19" s="36">
        <v>15</v>
      </c>
      <c r="F19" s="36">
        <v>23.9</v>
      </c>
      <c r="G19" s="36">
        <v>15</v>
      </c>
      <c r="H19" s="35">
        <v>22830</v>
      </c>
      <c r="I19" s="35">
        <v>320.2</v>
      </c>
      <c r="J19" s="36">
        <v>290.2</v>
      </c>
      <c r="K19" s="37" t="s">
        <v>108</v>
      </c>
      <c r="L19" s="36">
        <v>104</v>
      </c>
      <c r="M19" s="36">
        <v>268</v>
      </c>
      <c r="N19" s="35">
        <v>2.1720000000000002</v>
      </c>
      <c r="O19" s="36">
        <v>12.12</v>
      </c>
      <c r="P19" s="40">
        <v>574400000</v>
      </c>
      <c r="Q19" s="37">
        <v>3122000</v>
      </c>
      <c r="R19" s="37">
        <v>3482000</v>
      </c>
      <c r="S19" s="37">
        <v>158.6</v>
      </c>
      <c r="T19" s="37">
        <v>6072</v>
      </c>
      <c r="U19" s="40">
        <v>206800000</v>
      </c>
      <c r="V19" s="37">
        <v>1109000</v>
      </c>
      <c r="W19" s="37">
        <v>1683000</v>
      </c>
      <c r="X19" s="37">
        <v>95.199999999999989</v>
      </c>
      <c r="Y19" s="40">
        <v>80.37</v>
      </c>
      <c r="Z19" s="37">
        <v>3938000</v>
      </c>
      <c r="AA19" s="37">
        <v>6119000000000</v>
      </c>
      <c r="AB19" s="37">
        <v>1</v>
      </c>
      <c r="AC19" s="37">
        <v>1</v>
      </c>
      <c r="AD19" s="37">
        <v>2</v>
      </c>
      <c r="AE19" s="37">
        <v>1</v>
      </c>
      <c r="AF19" s="37">
        <v>1</v>
      </c>
      <c r="AG19" s="112">
        <v>2</v>
      </c>
    </row>
    <row r="20" spans="1:33" ht="28.5" x14ac:dyDescent="0.45">
      <c r="A20" s="44" t="s">
        <v>399</v>
      </c>
      <c r="B20" s="42">
        <v>196</v>
      </c>
      <c r="C20" s="41">
        <v>372</v>
      </c>
      <c r="D20" s="42">
        <v>374</v>
      </c>
      <c r="E20" s="42">
        <v>16.399999999999999</v>
      </c>
      <c r="F20" s="42">
        <v>26.2</v>
      </c>
      <c r="G20" s="42">
        <v>15</v>
      </c>
      <c r="H20" s="41">
        <v>25030</v>
      </c>
      <c r="I20" s="41">
        <v>319.60000000000002</v>
      </c>
      <c r="J20" s="42">
        <v>289.60000000000002</v>
      </c>
      <c r="K20" s="45" t="s">
        <v>110</v>
      </c>
      <c r="L20" s="42">
        <v>104</v>
      </c>
      <c r="M20" s="42">
        <v>268</v>
      </c>
      <c r="N20" s="41">
        <v>2.181</v>
      </c>
      <c r="O20" s="42">
        <v>11.1</v>
      </c>
      <c r="P20" s="46">
        <v>636300000</v>
      </c>
      <c r="Q20" s="45">
        <v>3421000</v>
      </c>
      <c r="R20" s="45">
        <v>3837000</v>
      </c>
      <c r="S20" s="45">
        <v>159.4</v>
      </c>
      <c r="T20" s="45">
        <v>6650</v>
      </c>
      <c r="U20" s="46">
        <v>228600000</v>
      </c>
      <c r="V20" s="45">
        <v>1222000</v>
      </c>
      <c r="W20" s="45">
        <v>1856000</v>
      </c>
      <c r="X20" s="45">
        <v>95.600000000000009</v>
      </c>
      <c r="Y20" s="46">
        <v>86.37</v>
      </c>
      <c r="Z20" s="45">
        <v>5171000</v>
      </c>
      <c r="AA20" s="45">
        <v>6829000000000</v>
      </c>
      <c r="AB20" s="45">
        <v>1</v>
      </c>
      <c r="AC20" s="45">
        <v>1</v>
      </c>
      <c r="AD20" s="45">
        <v>1</v>
      </c>
      <c r="AE20" s="45">
        <v>1</v>
      </c>
      <c r="AF20" s="45">
        <v>1</v>
      </c>
      <c r="AG20" s="113">
        <v>1</v>
      </c>
    </row>
    <row r="21" spans="1:33" ht="28.5" x14ac:dyDescent="0.45">
      <c r="A21" s="29" t="s">
        <v>400</v>
      </c>
      <c r="B21" s="27">
        <v>187</v>
      </c>
      <c r="C21" s="26">
        <v>368</v>
      </c>
      <c r="D21" s="27">
        <v>391</v>
      </c>
      <c r="E21" s="27">
        <v>15</v>
      </c>
      <c r="F21" s="27">
        <v>24</v>
      </c>
      <c r="G21" s="27">
        <v>15</v>
      </c>
      <c r="H21" s="26">
        <v>23760</v>
      </c>
      <c r="I21" s="26">
        <v>320</v>
      </c>
      <c r="J21" s="27">
        <v>290</v>
      </c>
      <c r="K21" s="28" t="s">
        <v>108</v>
      </c>
      <c r="L21" s="27">
        <v>104</v>
      </c>
      <c r="M21" s="27">
        <v>286</v>
      </c>
      <c r="N21" s="26">
        <v>2.2440000000000002</v>
      </c>
      <c r="O21" s="27">
        <v>12.03</v>
      </c>
      <c r="P21" s="29">
        <v>601800000</v>
      </c>
      <c r="Q21" s="28">
        <v>3271000</v>
      </c>
      <c r="R21" s="28">
        <v>3642000</v>
      </c>
      <c r="S21" s="28">
        <v>159.1</v>
      </c>
      <c r="T21" s="28">
        <v>6073</v>
      </c>
      <c r="U21" s="29">
        <v>239200000</v>
      </c>
      <c r="V21" s="28">
        <v>1224000</v>
      </c>
      <c r="W21" s="28">
        <v>1855000</v>
      </c>
      <c r="X21" s="28">
        <v>100.3</v>
      </c>
      <c r="Y21" s="29">
        <v>80.569999999999993</v>
      </c>
      <c r="Z21" s="28">
        <v>4146000</v>
      </c>
      <c r="AA21" s="28">
        <v>7074000000000</v>
      </c>
      <c r="AB21" s="29">
        <v>1</v>
      </c>
      <c r="AC21" s="28">
        <v>1</v>
      </c>
      <c r="AD21" s="28">
        <v>3</v>
      </c>
      <c r="AE21" s="29">
        <v>1</v>
      </c>
      <c r="AF21" s="28">
        <v>1</v>
      </c>
      <c r="AG21" s="28">
        <v>3</v>
      </c>
    </row>
    <row r="22" spans="1:33" ht="28.5" x14ac:dyDescent="0.45">
      <c r="A22" s="43" t="s">
        <v>401</v>
      </c>
      <c r="B22" s="31">
        <v>216</v>
      </c>
      <c r="C22" s="30">
        <v>375</v>
      </c>
      <c r="D22" s="31">
        <v>394</v>
      </c>
      <c r="E22" s="31">
        <v>17.3</v>
      </c>
      <c r="F22" s="31">
        <v>27.7</v>
      </c>
      <c r="G22" s="31">
        <v>15</v>
      </c>
      <c r="H22" s="30">
        <v>27550</v>
      </c>
      <c r="I22" s="30">
        <v>319.60000000000002</v>
      </c>
      <c r="J22" s="31">
        <v>289.60000000000002</v>
      </c>
      <c r="K22" s="32" t="s">
        <v>110</v>
      </c>
      <c r="L22" s="31">
        <v>106</v>
      </c>
      <c r="M22" s="31">
        <v>288</v>
      </c>
      <c r="N22" s="30">
        <v>2.266</v>
      </c>
      <c r="O22" s="31">
        <v>10.48</v>
      </c>
      <c r="P22" s="33">
        <v>711400000</v>
      </c>
      <c r="Q22" s="32">
        <v>3794000</v>
      </c>
      <c r="R22" s="32">
        <v>4262000</v>
      </c>
      <c r="S22" s="32">
        <v>160.69999999999999</v>
      </c>
      <c r="T22" s="47">
        <v>7031.9999999999991</v>
      </c>
      <c r="U22" s="33">
        <v>282500000</v>
      </c>
      <c r="V22" s="32">
        <v>1434000</v>
      </c>
      <c r="W22" s="32">
        <v>2176000</v>
      </c>
      <c r="X22" s="32">
        <v>101.30000000000001</v>
      </c>
      <c r="Y22" s="33">
        <v>90.27</v>
      </c>
      <c r="Z22" s="32">
        <v>6373000</v>
      </c>
      <c r="AA22" s="32">
        <v>8515000000000</v>
      </c>
      <c r="AB22" s="33">
        <v>1</v>
      </c>
      <c r="AC22" s="32">
        <v>1</v>
      </c>
      <c r="AD22" s="32">
        <v>1</v>
      </c>
      <c r="AE22" s="33">
        <v>1</v>
      </c>
      <c r="AF22" s="32">
        <v>1</v>
      </c>
      <c r="AG22" s="32">
        <v>1</v>
      </c>
    </row>
    <row r="23" spans="1:33" ht="28.5" x14ac:dyDescent="0.45">
      <c r="A23" s="40" t="s">
        <v>402</v>
      </c>
      <c r="B23" s="36">
        <v>237</v>
      </c>
      <c r="C23" s="35">
        <v>380</v>
      </c>
      <c r="D23" s="36">
        <v>395</v>
      </c>
      <c r="E23" s="36">
        <v>18.899999999999999</v>
      </c>
      <c r="F23" s="36">
        <v>30.2</v>
      </c>
      <c r="G23" s="36">
        <v>15</v>
      </c>
      <c r="H23" s="35">
        <v>30089.999999999996</v>
      </c>
      <c r="I23" s="35">
        <v>319.60000000000002</v>
      </c>
      <c r="J23" s="36">
        <v>289.60000000000002</v>
      </c>
      <c r="K23" s="37" t="s">
        <v>108</v>
      </c>
      <c r="L23" s="36">
        <v>108</v>
      </c>
      <c r="M23" s="36">
        <v>290</v>
      </c>
      <c r="N23" s="35">
        <v>2.2759999999999998</v>
      </c>
      <c r="O23" s="36">
        <v>9.6370000000000005</v>
      </c>
      <c r="P23" s="40">
        <v>787800000</v>
      </c>
      <c r="Q23" s="37">
        <v>4146000</v>
      </c>
      <c r="R23" s="37">
        <v>4686000</v>
      </c>
      <c r="S23" s="37">
        <v>161.80000000000001</v>
      </c>
      <c r="T23" s="37">
        <v>7709.9999999999991</v>
      </c>
      <c r="U23" s="40">
        <v>310400000</v>
      </c>
      <c r="V23" s="37">
        <v>1572000</v>
      </c>
      <c r="W23" s="37">
        <v>2387000</v>
      </c>
      <c r="X23" s="37">
        <v>101.6</v>
      </c>
      <c r="Y23" s="40">
        <v>96.87</v>
      </c>
      <c r="Z23" s="37">
        <v>8255000</v>
      </c>
      <c r="AA23" s="37">
        <v>9489000000000</v>
      </c>
      <c r="AB23" s="40">
        <v>1</v>
      </c>
      <c r="AC23" s="37">
        <v>1</v>
      </c>
      <c r="AD23" s="37">
        <v>1</v>
      </c>
      <c r="AE23" s="40">
        <v>1</v>
      </c>
      <c r="AF23" s="37">
        <v>1</v>
      </c>
      <c r="AG23" s="37">
        <v>1</v>
      </c>
    </row>
    <row r="24" spans="1:33" ht="28.5" x14ac:dyDescent="0.45">
      <c r="A24" s="43" t="s">
        <v>403</v>
      </c>
      <c r="B24" s="31">
        <v>262</v>
      </c>
      <c r="C24" s="30">
        <v>387</v>
      </c>
      <c r="D24" s="31">
        <v>398</v>
      </c>
      <c r="E24" s="31">
        <v>21.1</v>
      </c>
      <c r="F24" s="31">
        <v>33.299999999999997</v>
      </c>
      <c r="G24" s="31">
        <v>15</v>
      </c>
      <c r="H24" s="30">
        <v>33460</v>
      </c>
      <c r="I24" s="30">
        <v>320.39999999999998</v>
      </c>
      <c r="J24" s="31">
        <v>290.39999999999998</v>
      </c>
      <c r="K24" s="32" t="s">
        <v>110</v>
      </c>
      <c r="L24" s="31">
        <v>110</v>
      </c>
      <c r="M24" s="31">
        <v>292</v>
      </c>
      <c r="N24" s="30">
        <v>2.298</v>
      </c>
      <c r="O24" s="31">
        <v>8.7490000000000006</v>
      </c>
      <c r="P24" s="33">
        <v>894100000</v>
      </c>
      <c r="Q24" s="32">
        <v>4620000</v>
      </c>
      <c r="R24" s="32">
        <v>5260000</v>
      </c>
      <c r="S24" s="32">
        <v>163.5</v>
      </c>
      <c r="T24" s="32">
        <v>8655</v>
      </c>
      <c r="U24" s="33">
        <v>350200000</v>
      </c>
      <c r="V24" s="32">
        <v>1760000</v>
      </c>
      <c r="W24" s="32">
        <v>2676000</v>
      </c>
      <c r="X24" s="32">
        <v>102.30000000000001</v>
      </c>
      <c r="Y24" s="33">
        <v>105.3</v>
      </c>
      <c r="Z24" s="32">
        <v>11160000</v>
      </c>
      <c r="AA24" s="32">
        <v>10940000000000</v>
      </c>
      <c r="AB24" s="33">
        <v>1</v>
      </c>
      <c r="AC24" s="32">
        <v>1</v>
      </c>
      <c r="AD24" s="32">
        <v>1</v>
      </c>
      <c r="AE24" s="33">
        <v>1</v>
      </c>
      <c r="AF24" s="32">
        <v>1</v>
      </c>
      <c r="AG24" s="32">
        <v>1</v>
      </c>
    </row>
    <row r="25" spans="1:33" ht="28.5" x14ac:dyDescent="0.45">
      <c r="A25" s="40" t="s">
        <v>404</v>
      </c>
      <c r="B25" s="36">
        <v>287</v>
      </c>
      <c r="C25" s="35">
        <v>393</v>
      </c>
      <c r="D25" s="36">
        <v>399</v>
      </c>
      <c r="E25" s="36">
        <v>22.6</v>
      </c>
      <c r="F25" s="36">
        <v>36.6</v>
      </c>
      <c r="G25" s="36">
        <v>15</v>
      </c>
      <c r="H25" s="35">
        <v>36630</v>
      </c>
      <c r="I25" s="35">
        <v>319.8</v>
      </c>
      <c r="J25" s="36">
        <v>289.8</v>
      </c>
      <c r="K25" s="37" t="s">
        <v>108</v>
      </c>
      <c r="L25" s="36">
        <v>112</v>
      </c>
      <c r="M25" s="36">
        <v>294</v>
      </c>
      <c r="N25" s="35">
        <v>2.3109999999999999</v>
      </c>
      <c r="O25" s="36">
        <v>8.0380000000000003</v>
      </c>
      <c r="P25" s="40">
        <v>997100000</v>
      </c>
      <c r="Q25" s="37">
        <v>5074000</v>
      </c>
      <c r="R25" s="37">
        <v>5813000</v>
      </c>
      <c r="S25" s="37">
        <v>165</v>
      </c>
      <c r="T25" s="37">
        <v>9346</v>
      </c>
      <c r="U25" s="40">
        <v>387800000</v>
      </c>
      <c r="V25" s="37">
        <v>1944000</v>
      </c>
      <c r="W25" s="37">
        <v>2957000</v>
      </c>
      <c r="X25" s="37">
        <v>102.89999999999999</v>
      </c>
      <c r="Y25" s="40">
        <v>113.4</v>
      </c>
      <c r="Z25" s="37">
        <v>14640000</v>
      </c>
      <c r="AA25" s="37">
        <v>12300000000000</v>
      </c>
      <c r="AB25" s="40">
        <v>1</v>
      </c>
      <c r="AC25" s="37">
        <v>1</v>
      </c>
      <c r="AD25" s="37">
        <v>1</v>
      </c>
      <c r="AE25" s="40">
        <v>1</v>
      </c>
      <c r="AF25" s="37">
        <v>1</v>
      </c>
      <c r="AG25" s="37">
        <v>1</v>
      </c>
    </row>
    <row r="26" spans="1:33" ht="28.5" x14ac:dyDescent="0.45">
      <c r="A26" s="43" t="s">
        <v>405</v>
      </c>
      <c r="B26" s="31">
        <v>314</v>
      </c>
      <c r="C26" s="30">
        <v>399</v>
      </c>
      <c r="D26" s="31">
        <v>401</v>
      </c>
      <c r="E26" s="31">
        <v>24.9</v>
      </c>
      <c r="F26" s="31">
        <v>39.6</v>
      </c>
      <c r="G26" s="31">
        <v>15</v>
      </c>
      <c r="H26" s="30">
        <v>39920</v>
      </c>
      <c r="I26" s="30">
        <v>319.8</v>
      </c>
      <c r="J26" s="31">
        <v>289.8</v>
      </c>
      <c r="K26" s="32" t="s">
        <v>110</v>
      </c>
      <c r="L26" s="31">
        <v>114</v>
      </c>
      <c r="M26" s="31">
        <v>296</v>
      </c>
      <c r="N26" s="30">
        <v>2.3260000000000001</v>
      </c>
      <c r="O26" s="31">
        <v>7.4249999999999998</v>
      </c>
      <c r="P26" s="33">
        <v>1102000000</v>
      </c>
      <c r="Q26" s="32">
        <v>5525000</v>
      </c>
      <c r="R26" s="32">
        <v>6374000</v>
      </c>
      <c r="S26" s="32">
        <v>166.20000000000002</v>
      </c>
      <c r="T26" s="32">
        <v>10330</v>
      </c>
      <c r="U26" s="33">
        <v>426000000</v>
      </c>
      <c r="V26" s="32">
        <v>2125000</v>
      </c>
      <c r="W26" s="32">
        <v>3236000</v>
      </c>
      <c r="X26" s="32">
        <v>103.3</v>
      </c>
      <c r="Y26" s="33">
        <v>121.7</v>
      </c>
      <c r="Z26" s="32">
        <v>18700000</v>
      </c>
      <c r="AA26" s="32">
        <v>13740000000000</v>
      </c>
      <c r="AB26" s="33">
        <v>1</v>
      </c>
      <c r="AC26" s="32">
        <v>1</v>
      </c>
      <c r="AD26" s="32">
        <v>1</v>
      </c>
      <c r="AE26" s="33">
        <v>1</v>
      </c>
      <c r="AF26" s="32">
        <v>1</v>
      </c>
      <c r="AG26" s="32">
        <v>1</v>
      </c>
    </row>
    <row r="27" spans="1:33" ht="28.5" x14ac:dyDescent="0.45">
      <c r="A27" s="40" t="s">
        <v>406</v>
      </c>
      <c r="B27" s="36">
        <v>347</v>
      </c>
      <c r="C27" s="35">
        <v>407</v>
      </c>
      <c r="D27" s="36">
        <v>404</v>
      </c>
      <c r="E27" s="36">
        <v>27.2</v>
      </c>
      <c r="F27" s="36">
        <v>43.7</v>
      </c>
      <c r="G27" s="36">
        <v>15</v>
      </c>
      <c r="H27" s="35">
        <v>44200</v>
      </c>
      <c r="I27" s="35">
        <v>319.60000000000002</v>
      </c>
      <c r="J27" s="36">
        <v>289.60000000000002</v>
      </c>
      <c r="K27" s="37" t="s">
        <v>108</v>
      </c>
      <c r="L27" s="36">
        <v>116</v>
      </c>
      <c r="M27" s="36">
        <v>298</v>
      </c>
      <c r="N27" s="35">
        <v>2.35</v>
      </c>
      <c r="O27" s="36">
        <v>6.7729999999999997</v>
      </c>
      <c r="P27" s="40">
        <v>1249000000</v>
      </c>
      <c r="Q27" s="37">
        <v>6140000</v>
      </c>
      <c r="R27" s="37">
        <v>7139000</v>
      </c>
      <c r="S27" s="37">
        <v>168.1</v>
      </c>
      <c r="T27" s="37">
        <v>11390</v>
      </c>
      <c r="U27" s="40">
        <v>480900000</v>
      </c>
      <c r="V27" s="37">
        <v>2380000</v>
      </c>
      <c r="W27" s="37">
        <v>3629000</v>
      </c>
      <c r="X27" s="37">
        <v>104.3</v>
      </c>
      <c r="Y27" s="40">
        <v>132.19999999999999</v>
      </c>
      <c r="Z27" s="37">
        <v>25100000</v>
      </c>
      <c r="AA27" s="37">
        <v>15850000000000</v>
      </c>
      <c r="AB27" s="40">
        <v>1</v>
      </c>
      <c r="AC27" s="37">
        <v>1</v>
      </c>
      <c r="AD27" s="37">
        <v>1</v>
      </c>
      <c r="AE27" s="40">
        <v>1</v>
      </c>
      <c r="AF27" s="37">
        <v>1</v>
      </c>
      <c r="AG27" s="37">
        <v>1</v>
      </c>
    </row>
    <row r="28" spans="1:33" ht="28.5" x14ac:dyDescent="0.45">
      <c r="A28" s="43" t="s">
        <v>407</v>
      </c>
      <c r="B28" s="31">
        <v>382</v>
      </c>
      <c r="C28" s="30">
        <v>416</v>
      </c>
      <c r="D28" s="31">
        <v>406</v>
      </c>
      <c r="E28" s="31">
        <v>29.8</v>
      </c>
      <c r="F28" s="31">
        <v>48</v>
      </c>
      <c r="G28" s="31">
        <v>15</v>
      </c>
      <c r="H28" s="30">
        <v>48710</v>
      </c>
      <c r="I28" s="30">
        <v>320</v>
      </c>
      <c r="J28" s="31">
        <v>290</v>
      </c>
      <c r="K28" s="32" t="s">
        <v>110</v>
      </c>
      <c r="L28" s="31">
        <v>118</v>
      </c>
      <c r="M28" s="31">
        <v>300</v>
      </c>
      <c r="N28" s="30">
        <v>2.371</v>
      </c>
      <c r="O28" s="31">
        <v>6.2</v>
      </c>
      <c r="P28" s="33">
        <v>1413000000</v>
      </c>
      <c r="Q28" s="32">
        <v>6794000</v>
      </c>
      <c r="R28" s="32">
        <v>7965000</v>
      </c>
      <c r="S28" s="32">
        <v>170.3</v>
      </c>
      <c r="T28" s="32">
        <v>12600</v>
      </c>
      <c r="U28" s="33">
        <v>536200000</v>
      </c>
      <c r="V28" s="32">
        <v>2641000</v>
      </c>
      <c r="W28" s="32">
        <v>4031000</v>
      </c>
      <c r="X28" s="32">
        <v>104.9</v>
      </c>
      <c r="Y28" s="33">
        <v>143.4</v>
      </c>
      <c r="Z28" s="32">
        <v>33260000</v>
      </c>
      <c r="AA28" s="32">
        <v>18130000000000</v>
      </c>
      <c r="AB28" s="33">
        <v>1</v>
      </c>
      <c r="AC28" s="32">
        <v>1</v>
      </c>
      <c r="AD28" s="32">
        <v>1</v>
      </c>
      <c r="AE28" s="33">
        <v>1</v>
      </c>
      <c r="AF28" s="32">
        <v>1</v>
      </c>
      <c r="AG28" s="32">
        <v>1</v>
      </c>
    </row>
    <row r="29" spans="1:33" ht="28.5" x14ac:dyDescent="0.45">
      <c r="A29" s="40" t="s">
        <v>408</v>
      </c>
      <c r="B29" s="36">
        <v>421</v>
      </c>
      <c r="C29" s="35">
        <v>425</v>
      </c>
      <c r="D29" s="36">
        <v>409</v>
      </c>
      <c r="E29" s="36">
        <v>32.799999999999997</v>
      </c>
      <c r="F29" s="36">
        <v>52.6</v>
      </c>
      <c r="G29" s="36">
        <v>15</v>
      </c>
      <c r="H29" s="35">
        <v>53710</v>
      </c>
      <c r="I29" s="35">
        <v>319.8</v>
      </c>
      <c r="J29" s="36">
        <v>289.8</v>
      </c>
      <c r="K29" s="37" t="s">
        <v>108</v>
      </c>
      <c r="L29" s="36">
        <v>122</v>
      </c>
      <c r="M29" s="36">
        <v>304</v>
      </c>
      <c r="N29" s="35">
        <v>2.395</v>
      </c>
      <c r="O29" s="36">
        <v>5.68</v>
      </c>
      <c r="P29" s="40">
        <v>1596000000</v>
      </c>
      <c r="Q29" s="37">
        <v>7510000</v>
      </c>
      <c r="R29" s="37">
        <v>8880000</v>
      </c>
      <c r="S29" s="37">
        <v>172.39999999999998</v>
      </c>
      <c r="T29" s="37">
        <v>13990</v>
      </c>
      <c r="U29" s="40">
        <v>600800000</v>
      </c>
      <c r="V29" s="37">
        <v>2938000</v>
      </c>
      <c r="W29" s="37">
        <v>4489000</v>
      </c>
      <c r="X29" s="37">
        <v>105.8</v>
      </c>
      <c r="Y29" s="40">
        <v>155.6</v>
      </c>
      <c r="Z29" s="37">
        <v>43980000</v>
      </c>
      <c r="AA29" s="37">
        <v>20800000000000</v>
      </c>
      <c r="AB29" s="40">
        <v>1</v>
      </c>
      <c r="AC29" s="37">
        <v>1</v>
      </c>
      <c r="AD29" s="37">
        <v>1</v>
      </c>
      <c r="AE29" s="40">
        <v>1</v>
      </c>
      <c r="AF29" s="37">
        <v>1</v>
      </c>
      <c r="AG29" s="37">
        <v>1</v>
      </c>
    </row>
    <row r="30" spans="1:33" ht="28.5" x14ac:dyDescent="0.45">
      <c r="A30" s="43" t="s">
        <v>409</v>
      </c>
      <c r="B30" s="31">
        <v>463</v>
      </c>
      <c r="C30" s="30">
        <v>435</v>
      </c>
      <c r="D30" s="31">
        <v>412</v>
      </c>
      <c r="E30" s="31">
        <v>35.799999999999997</v>
      </c>
      <c r="F30" s="31">
        <v>57.4</v>
      </c>
      <c r="G30" s="31">
        <v>15</v>
      </c>
      <c r="H30" s="30">
        <v>58950</v>
      </c>
      <c r="I30" s="30">
        <v>320.2</v>
      </c>
      <c r="J30" s="31">
        <v>290.2</v>
      </c>
      <c r="K30" s="32" t="s">
        <v>110</v>
      </c>
      <c r="L30" s="31">
        <v>124</v>
      </c>
      <c r="M30" s="31">
        <v>306</v>
      </c>
      <c r="N30" s="30">
        <v>2.4209999999999998</v>
      </c>
      <c r="O30" s="31">
        <v>5.2309999999999999</v>
      </c>
      <c r="P30" s="33">
        <v>1802000000</v>
      </c>
      <c r="Q30" s="32">
        <v>8283000</v>
      </c>
      <c r="R30" s="32">
        <v>9878000</v>
      </c>
      <c r="S30" s="32">
        <v>174.8</v>
      </c>
      <c r="T30" s="32">
        <v>15430.000000000002</v>
      </c>
      <c r="U30" s="33">
        <v>670400000</v>
      </c>
      <c r="V30" s="32">
        <v>3254000</v>
      </c>
      <c r="W30" s="32">
        <v>4978000</v>
      </c>
      <c r="X30" s="32">
        <v>106.6</v>
      </c>
      <c r="Y30" s="33">
        <v>168.2</v>
      </c>
      <c r="Z30" s="32">
        <v>57350000</v>
      </c>
      <c r="AA30" s="32">
        <v>23850000000000</v>
      </c>
      <c r="AB30" s="33">
        <v>1</v>
      </c>
      <c r="AC30" s="32">
        <v>1</v>
      </c>
      <c r="AD30" s="32">
        <v>1</v>
      </c>
      <c r="AE30" s="33">
        <v>1</v>
      </c>
      <c r="AF30" s="32">
        <v>1</v>
      </c>
      <c r="AG30" s="32">
        <v>1</v>
      </c>
    </row>
    <row r="31" spans="1:33" ht="28.5" x14ac:dyDescent="0.45">
      <c r="A31" s="40" t="s">
        <v>410</v>
      </c>
      <c r="B31" s="36">
        <v>509</v>
      </c>
      <c r="C31" s="35">
        <v>446</v>
      </c>
      <c r="D31" s="36">
        <v>416</v>
      </c>
      <c r="E31" s="36">
        <v>39.1</v>
      </c>
      <c r="F31" s="36">
        <v>62.7</v>
      </c>
      <c r="G31" s="36">
        <v>15</v>
      </c>
      <c r="H31" s="35">
        <v>64900</v>
      </c>
      <c r="I31" s="35">
        <v>320.60000000000002</v>
      </c>
      <c r="J31" s="36">
        <v>290.60000000000002</v>
      </c>
      <c r="K31" s="37" t="s">
        <v>108</v>
      </c>
      <c r="L31" s="36">
        <v>128</v>
      </c>
      <c r="M31" s="36">
        <v>310</v>
      </c>
      <c r="N31" s="35">
        <v>2.452</v>
      </c>
      <c r="O31" s="36">
        <v>4.8129999999999997</v>
      </c>
      <c r="P31" s="40">
        <v>2045000000</v>
      </c>
      <c r="Q31" s="37">
        <v>9172000</v>
      </c>
      <c r="R31" s="37">
        <v>11030000</v>
      </c>
      <c r="S31" s="37">
        <v>177.5</v>
      </c>
      <c r="T31" s="37">
        <v>17060</v>
      </c>
      <c r="U31" s="40">
        <v>754000000</v>
      </c>
      <c r="V31" s="37">
        <v>3625000</v>
      </c>
      <c r="W31" s="37">
        <v>5552000</v>
      </c>
      <c r="X31" s="37">
        <v>107.8</v>
      </c>
      <c r="Y31" s="40">
        <v>182.1</v>
      </c>
      <c r="Z31" s="37">
        <v>75130000</v>
      </c>
      <c r="AA31" s="37">
        <v>27630000000000</v>
      </c>
      <c r="AB31" s="40">
        <v>1</v>
      </c>
      <c r="AC31" s="37">
        <v>1</v>
      </c>
      <c r="AD31" s="37">
        <v>1</v>
      </c>
      <c r="AE31" s="40">
        <v>1</v>
      </c>
      <c r="AF31" s="37">
        <v>1</v>
      </c>
      <c r="AG31" s="37">
        <v>1</v>
      </c>
    </row>
    <row r="32" spans="1:33" ht="28.5" x14ac:dyDescent="0.45">
      <c r="A32" s="43" t="s">
        <v>411</v>
      </c>
      <c r="B32" s="31">
        <v>551</v>
      </c>
      <c r="C32" s="30">
        <v>455</v>
      </c>
      <c r="D32" s="31">
        <v>418</v>
      </c>
      <c r="E32" s="31">
        <v>42</v>
      </c>
      <c r="F32" s="31">
        <v>67.599999999999994</v>
      </c>
      <c r="G32" s="31">
        <v>15</v>
      </c>
      <c r="H32" s="30">
        <v>70140</v>
      </c>
      <c r="I32" s="30">
        <v>319.8</v>
      </c>
      <c r="J32" s="31">
        <v>289.8</v>
      </c>
      <c r="K32" s="32" t="s">
        <v>110</v>
      </c>
      <c r="L32" s="31">
        <v>132</v>
      </c>
      <c r="M32" s="31">
        <v>312</v>
      </c>
      <c r="N32" s="30">
        <v>2.472</v>
      </c>
      <c r="O32" s="31">
        <v>4.49</v>
      </c>
      <c r="P32" s="33">
        <v>2261000000</v>
      </c>
      <c r="Q32" s="32">
        <v>9939000</v>
      </c>
      <c r="R32" s="32">
        <v>12050000</v>
      </c>
      <c r="S32" s="32">
        <v>179.5</v>
      </c>
      <c r="T32" s="32">
        <v>18490</v>
      </c>
      <c r="U32" s="33">
        <v>824900000</v>
      </c>
      <c r="V32" s="32">
        <v>3947000</v>
      </c>
      <c r="W32" s="32">
        <v>6051000</v>
      </c>
      <c r="X32" s="32">
        <v>108.5</v>
      </c>
      <c r="Y32" s="33">
        <v>194.8</v>
      </c>
      <c r="Z32" s="32">
        <v>94100000</v>
      </c>
      <c r="AA32" s="32">
        <v>30870000000000</v>
      </c>
      <c r="AB32" s="33">
        <v>1</v>
      </c>
      <c r="AC32" s="32">
        <v>1</v>
      </c>
      <c r="AD32" s="32">
        <v>1</v>
      </c>
      <c r="AE32" s="33">
        <v>1</v>
      </c>
      <c r="AF32" s="32">
        <v>1</v>
      </c>
      <c r="AG32" s="32">
        <v>1</v>
      </c>
    </row>
    <row r="33" spans="1:33" ht="28.5" x14ac:dyDescent="0.45">
      <c r="A33" s="40" t="s">
        <v>412</v>
      </c>
      <c r="B33" s="36">
        <v>592</v>
      </c>
      <c r="C33" s="35">
        <v>465</v>
      </c>
      <c r="D33" s="36">
        <v>421</v>
      </c>
      <c r="E33" s="36">
        <v>45</v>
      </c>
      <c r="F33" s="36">
        <v>72.3</v>
      </c>
      <c r="G33" s="36">
        <v>15</v>
      </c>
      <c r="H33" s="35">
        <v>75490</v>
      </c>
      <c r="I33" s="35">
        <v>320.39999999999998</v>
      </c>
      <c r="J33" s="36">
        <v>290.39999999999998</v>
      </c>
      <c r="K33" s="37" t="s">
        <v>108</v>
      </c>
      <c r="L33" s="36">
        <v>134</v>
      </c>
      <c r="M33" s="36">
        <v>316</v>
      </c>
      <c r="N33" s="35">
        <v>2.4980000000000002</v>
      </c>
      <c r="O33" s="36">
        <v>4.2160000000000002</v>
      </c>
      <c r="P33" s="40">
        <v>2502000000</v>
      </c>
      <c r="Q33" s="37">
        <v>10760000</v>
      </c>
      <c r="R33" s="37">
        <v>13140000</v>
      </c>
      <c r="S33" s="37">
        <v>182</v>
      </c>
      <c r="T33" s="37">
        <v>20030</v>
      </c>
      <c r="U33" s="40">
        <v>901700000</v>
      </c>
      <c r="V33" s="37">
        <v>4284000</v>
      </c>
      <c r="W33" s="37">
        <v>6574000</v>
      </c>
      <c r="X33" s="37">
        <v>109.3</v>
      </c>
      <c r="Y33" s="40">
        <v>207.2</v>
      </c>
      <c r="Z33" s="37">
        <v>115600000</v>
      </c>
      <c r="AA33" s="37">
        <v>34670000000000</v>
      </c>
      <c r="AB33" s="40">
        <v>1</v>
      </c>
      <c r="AC33" s="37">
        <v>1</v>
      </c>
      <c r="AD33" s="37">
        <v>1</v>
      </c>
      <c r="AE33" s="40">
        <v>1</v>
      </c>
      <c r="AF33" s="37">
        <v>1</v>
      </c>
      <c r="AG33" s="37">
        <v>1</v>
      </c>
    </row>
    <row r="34" spans="1:33" ht="28.5" x14ac:dyDescent="0.45">
      <c r="A34" s="43" t="s">
        <v>413</v>
      </c>
      <c r="B34" s="31">
        <v>634</v>
      </c>
      <c r="C34" s="30">
        <v>474</v>
      </c>
      <c r="D34" s="31">
        <v>424</v>
      </c>
      <c r="E34" s="31">
        <v>47.6</v>
      </c>
      <c r="F34" s="31">
        <v>77.099999999999994</v>
      </c>
      <c r="G34" s="31">
        <v>15</v>
      </c>
      <c r="H34" s="30">
        <v>80800</v>
      </c>
      <c r="I34" s="30">
        <v>319.8</v>
      </c>
      <c r="J34" s="31">
        <v>289.8</v>
      </c>
      <c r="K34" s="32" t="s">
        <v>110</v>
      </c>
      <c r="L34" s="31">
        <v>140</v>
      </c>
      <c r="M34" s="31">
        <v>312</v>
      </c>
      <c r="N34" s="30">
        <v>2.5230000000000001</v>
      </c>
      <c r="O34" s="31">
        <v>3.9780000000000002</v>
      </c>
      <c r="P34" s="33">
        <v>2742000000</v>
      </c>
      <c r="Q34" s="32">
        <v>11570000</v>
      </c>
      <c r="R34" s="32">
        <v>14220000</v>
      </c>
      <c r="S34" s="32">
        <v>184.20000000000002</v>
      </c>
      <c r="T34" s="32">
        <v>21400</v>
      </c>
      <c r="U34" s="33">
        <v>982500000</v>
      </c>
      <c r="V34" s="32">
        <v>4634000</v>
      </c>
      <c r="W34" s="32">
        <v>7117000</v>
      </c>
      <c r="X34" s="32">
        <v>110.3</v>
      </c>
      <c r="Y34" s="33">
        <v>219.4</v>
      </c>
      <c r="Z34" s="32">
        <v>140200000</v>
      </c>
      <c r="AA34" s="32">
        <v>38570000000000</v>
      </c>
      <c r="AB34" s="33">
        <v>1</v>
      </c>
      <c r="AC34" s="32">
        <v>1</v>
      </c>
      <c r="AD34" s="32">
        <v>1</v>
      </c>
      <c r="AE34" s="33">
        <v>1</v>
      </c>
      <c r="AF34" s="32">
        <v>1</v>
      </c>
      <c r="AG34" s="32">
        <v>1</v>
      </c>
    </row>
    <row r="35" spans="1:33" ht="28.5" x14ac:dyDescent="0.45">
      <c r="A35" s="40" t="s">
        <v>414</v>
      </c>
      <c r="B35" s="36">
        <v>677</v>
      </c>
      <c r="C35" s="35">
        <v>483</v>
      </c>
      <c r="D35" s="36">
        <v>428</v>
      </c>
      <c r="E35" s="36">
        <v>51.2</v>
      </c>
      <c r="F35" s="36">
        <v>81.5</v>
      </c>
      <c r="G35" s="36">
        <v>15</v>
      </c>
      <c r="H35" s="35">
        <v>86340</v>
      </c>
      <c r="I35" s="35">
        <v>320</v>
      </c>
      <c r="J35" s="36">
        <v>290</v>
      </c>
      <c r="K35" s="37" t="s">
        <v>108</v>
      </c>
      <c r="L35" s="36">
        <v>144</v>
      </c>
      <c r="M35" s="36">
        <v>316</v>
      </c>
      <c r="N35" s="35">
        <v>2.5499999999999998</v>
      </c>
      <c r="O35" s="36">
        <v>3.762</v>
      </c>
      <c r="P35" s="40">
        <v>2995000000</v>
      </c>
      <c r="Q35" s="37">
        <v>12400000</v>
      </c>
      <c r="R35" s="37">
        <v>15350000</v>
      </c>
      <c r="S35" s="37">
        <v>186.20000000000002</v>
      </c>
      <c r="T35" s="37">
        <v>23190</v>
      </c>
      <c r="U35" s="40">
        <v>1069000000</v>
      </c>
      <c r="V35" s="37">
        <v>4994000</v>
      </c>
      <c r="W35" s="37">
        <v>7680000</v>
      </c>
      <c r="X35" s="37">
        <v>111.30000000000001</v>
      </c>
      <c r="Y35" s="40">
        <v>231.8</v>
      </c>
      <c r="Z35" s="37">
        <v>167900000</v>
      </c>
      <c r="AA35" s="37">
        <v>42920000000000</v>
      </c>
      <c r="AB35" s="40">
        <v>1</v>
      </c>
      <c r="AC35" s="37">
        <v>1</v>
      </c>
      <c r="AD35" s="37">
        <v>1</v>
      </c>
      <c r="AE35" s="40">
        <v>1</v>
      </c>
      <c r="AF35" s="37">
        <v>1</v>
      </c>
      <c r="AG35" s="37">
        <v>1</v>
      </c>
    </row>
    <row r="36" spans="1:33" ht="28.5" x14ac:dyDescent="0.45">
      <c r="A36" s="43" t="s">
        <v>415</v>
      </c>
      <c r="B36" s="31">
        <v>744</v>
      </c>
      <c r="C36" s="30">
        <v>498</v>
      </c>
      <c r="D36" s="31">
        <v>432</v>
      </c>
      <c r="E36" s="31">
        <v>55.6</v>
      </c>
      <c r="F36" s="31">
        <v>88.9</v>
      </c>
      <c r="G36" s="31">
        <v>15</v>
      </c>
      <c r="H36" s="30">
        <v>94810</v>
      </c>
      <c r="I36" s="30">
        <v>320.2</v>
      </c>
      <c r="J36" s="31">
        <v>290.2</v>
      </c>
      <c r="K36" s="32" t="s">
        <v>110</v>
      </c>
      <c r="L36" s="31">
        <v>148</v>
      </c>
      <c r="M36" s="31">
        <v>320</v>
      </c>
      <c r="N36" s="30">
        <v>2.5870000000000002</v>
      </c>
      <c r="O36" s="31">
        <v>3.476</v>
      </c>
      <c r="P36" s="33">
        <v>3421000000</v>
      </c>
      <c r="Q36" s="32">
        <v>13740000</v>
      </c>
      <c r="R36" s="32">
        <v>17170000</v>
      </c>
      <c r="S36" s="32">
        <v>190</v>
      </c>
      <c r="T36" s="32">
        <v>25610.000000000004</v>
      </c>
      <c r="U36" s="33">
        <v>1199000000</v>
      </c>
      <c r="V36" s="32">
        <v>5552000</v>
      </c>
      <c r="W36" s="32">
        <v>8549000</v>
      </c>
      <c r="X36" s="32">
        <v>112.5</v>
      </c>
      <c r="Y36" s="33">
        <v>251</v>
      </c>
      <c r="Z36" s="32">
        <v>218400000</v>
      </c>
      <c r="AA36" s="32">
        <v>49980000000000</v>
      </c>
      <c r="AB36" s="33">
        <v>1</v>
      </c>
      <c r="AC36" s="32">
        <v>1</v>
      </c>
      <c r="AD36" s="32">
        <v>1</v>
      </c>
      <c r="AE36" s="33">
        <v>1</v>
      </c>
      <c r="AF36" s="32">
        <v>1</v>
      </c>
      <c r="AG36" s="32">
        <v>1</v>
      </c>
    </row>
    <row r="37" spans="1:33" ht="28.5" x14ac:dyDescent="0.45">
      <c r="A37" s="40" t="s">
        <v>416</v>
      </c>
      <c r="B37" s="36">
        <v>818</v>
      </c>
      <c r="C37" s="35">
        <v>514</v>
      </c>
      <c r="D37" s="36">
        <v>437</v>
      </c>
      <c r="E37" s="36">
        <v>60.5</v>
      </c>
      <c r="F37" s="36">
        <v>97</v>
      </c>
      <c r="G37" s="36">
        <v>15</v>
      </c>
      <c r="H37" s="35">
        <v>104300</v>
      </c>
      <c r="I37" s="35">
        <v>320</v>
      </c>
      <c r="J37" s="36">
        <v>290</v>
      </c>
      <c r="K37" s="37" t="s">
        <v>108</v>
      </c>
      <c r="L37" s="36">
        <v>154</v>
      </c>
      <c r="M37" s="36">
        <v>326</v>
      </c>
      <c r="N37" s="35">
        <v>2.629</v>
      </c>
      <c r="O37" s="36">
        <v>3.21</v>
      </c>
      <c r="P37" s="40">
        <v>3922000000</v>
      </c>
      <c r="Q37" s="37">
        <v>15260000</v>
      </c>
      <c r="R37" s="37">
        <v>19260000</v>
      </c>
      <c r="S37" s="37">
        <v>193.9</v>
      </c>
      <c r="T37" s="37">
        <v>28330</v>
      </c>
      <c r="U37" s="40">
        <v>1355000000</v>
      </c>
      <c r="V37" s="37">
        <v>6203000</v>
      </c>
      <c r="W37" s="37">
        <v>9561000</v>
      </c>
      <c r="X37" s="37">
        <v>114</v>
      </c>
      <c r="Y37" s="40">
        <v>272.10000000000002</v>
      </c>
      <c r="Z37" s="37">
        <v>285100000</v>
      </c>
      <c r="AA37" s="37">
        <v>58650000000000</v>
      </c>
      <c r="AB37" s="40">
        <v>1</v>
      </c>
      <c r="AC37" s="37">
        <v>1</v>
      </c>
      <c r="AD37" s="37">
        <v>1</v>
      </c>
      <c r="AE37" s="40">
        <v>1</v>
      </c>
      <c r="AF37" s="37">
        <v>1</v>
      </c>
      <c r="AG37" s="37">
        <v>1</v>
      </c>
    </row>
    <row r="38" spans="1:33" ht="28.5" x14ac:dyDescent="0.45">
      <c r="A38" s="43" t="s">
        <v>417</v>
      </c>
      <c r="B38" s="31">
        <v>900</v>
      </c>
      <c r="C38" s="30">
        <v>531</v>
      </c>
      <c r="D38" s="31">
        <v>442</v>
      </c>
      <c r="E38" s="31">
        <v>65.900000000000006</v>
      </c>
      <c r="F38" s="31">
        <v>106</v>
      </c>
      <c r="G38" s="31">
        <v>15</v>
      </c>
      <c r="H38" s="30">
        <v>114900</v>
      </c>
      <c r="I38" s="30">
        <v>319</v>
      </c>
      <c r="J38" s="31">
        <v>289</v>
      </c>
      <c r="K38" s="32" t="s">
        <v>110</v>
      </c>
      <c r="L38" s="31">
        <v>158</v>
      </c>
      <c r="M38" s="31">
        <v>330</v>
      </c>
      <c r="N38" s="30">
        <v>2.6720000000000002</v>
      </c>
      <c r="O38" s="31">
        <v>2.9620000000000002</v>
      </c>
      <c r="P38" s="33">
        <v>4502000000</v>
      </c>
      <c r="Q38" s="32">
        <v>16960000</v>
      </c>
      <c r="R38" s="32">
        <v>21620000</v>
      </c>
      <c r="S38" s="32">
        <v>197.89999999999998</v>
      </c>
      <c r="T38" s="32">
        <v>31380</v>
      </c>
      <c r="U38" s="33">
        <v>1533000000</v>
      </c>
      <c r="V38" s="32">
        <v>6938000</v>
      </c>
      <c r="W38" s="32">
        <v>10710000</v>
      </c>
      <c r="X38" s="32">
        <v>115.5</v>
      </c>
      <c r="Y38" s="33">
        <v>295.5</v>
      </c>
      <c r="Z38" s="32">
        <v>373500000</v>
      </c>
      <c r="AA38" s="32">
        <v>68890000000000</v>
      </c>
      <c r="AB38" s="33">
        <v>1</v>
      </c>
      <c r="AC38" s="32">
        <v>1</v>
      </c>
      <c r="AD38" s="32">
        <v>1</v>
      </c>
      <c r="AE38" s="33">
        <v>1</v>
      </c>
      <c r="AF38" s="32">
        <v>1</v>
      </c>
      <c r="AG38" s="32">
        <v>1</v>
      </c>
    </row>
    <row r="39" spans="1:33" ht="28.5" x14ac:dyDescent="0.45">
      <c r="A39" s="40" t="s">
        <v>418</v>
      </c>
      <c r="B39" s="36">
        <v>990</v>
      </c>
      <c r="C39" s="35">
        <v>550</v>
      </c>
      <c r="D39" s="36">
        <v>448</v>
      </c>
      <c r="E39" s="36">
        <v>71.900000000000006</v>
      </c>
      <c r="F39" s="36">
        <v>115</v>
      </c>
      <c r="G39" s="36">
        <v>15</v>
      </c>
      <c r="H39" s="35">
        <v>126200</v>
      </c>
      <c r="I39" s="35">
        <v>320</v>
      </c>
      <c r="J39" s="36">
        <v>290</v>
      </c>
      <c r="K39" s="37" t="s">
        <v>108</v>
      </c>
      <c r="L39" s="36">
        <v>164</v>
      </c>
      <c r="M39" s="36">
        <v>336</v>
      </c>
      <c r="N39" s="35">
        <v>2.722</v>
      </c>
      <c r="O39" s="36">
        <v>2.7469999999999999</v>
      </c>
      <c r="P39" s="40">
        <v>5189000000</v>
      </c>
      <c r="Q39" s="37">
        <v>18870000</v>
      </c>
      <c r="R39" s="37">
        <v>24280000</v>
      </c>
      <c r="S39" s="37">
        <v>202.7</v>
      </c>
      <c r="T39" s="37">
        <v>34920</v>
      </c>
      <c r="U39" s="40">
        <v>1734000000</v>
      </c>
      <c r="V39" s="37">
        <v>7739000</v>
      </c>
      <c r="W39" s="37">
        <v>11960000</v>
      </c>
      <c r="X39" s="37">
        <v>117.2</v>
      </c>
      <c r="Y39" s="40">
        <v>319.5</v>
      </c>
      <c r="Z39" s="37">
        <v>482100000</v>
      </c>
      <c r="AA39" s="37">
        <v>81530000000000</v>
      </c>
      <c r="AB39" s="40">
        <v>1</v>
      </c>
      <c r="AC39" s="37">
        <v>1</v>
      </c>
      <c r="AD39" s="37">
        <v>1</v>
      </c>
      <c r="AE39" s="40">
        <v>1</v>
      </c>
      <c r="AF39" s="37">
        <v>1</v>
      </c>
      <c r="AG39" s="37">
        <v>1</v>
      </c>
    </row>
    <row r="40" spans="1:33" ht="28.5" x14ac:dyDescent="0.45">
      <c r="A40" s="44" t="s">
        <v>419</v>
      </c>
      <c r="B40" s="42">
        <v>1086</v>
      </c>
      <c r="C40" s="41">
        <v>569</v>
      </c>
      <c r="D40" s="42">
        <v>454</v>
      </c>
      <c r="E40" s="42">
        <v>78</v>
      </c>
      <c r="F40" s="42">
        <v>125</v>
      </c>
      <c r="G40" s="42">
        <v>15</v>
      </c>
      <c r="H40" s="41">
        <v>138600</v>
      </c>
      <c r="I40" s="41">
        <v>319</v>
      </c>
      <c r="J40" s="42">
        <v>289</v>
      </c>
      <c r="K40" s="45" t="s">
        <v>110</v>
      </c>
      <c r="L40" s="42">
        <v>170</v>
      </c>
      <c r="M40" s="42">
        <v>342</v>
      </c>
      <c r="N40" s="41">
        <v>2.7719999999999998</v>
      </c>
      <c r="O40" s="42">
        <v>2.548</v>
      </c>
      <c r="P40" s="46">
        <v>5957000000</v>
      </c>
      <c r="Q40" s="45">
        <v>20940000</v>
      </c>
      <c r="R40" s="45">
        <v>27210000</v>
      </c>
      <c r="S40" s="45">
        <v>207.3</v>
      </c>
      <c r="T40" s="45">
        <v>38580</v>
      </c>
      <c r="U40" s="46">
        <v>1962000000</v>
      </c>
      <c r="V40" s="45">
        <v>8645000</v>
      </c>
      <c r="W40" s="45">
        <v>13380000</v>
      </c>
      <c r="X40" s="45">
        <v>119</v>
      </c>
      <c r="Y40" s="46">
        <v>345.6</v>
      </c>
      <c r="Z40" s="45">
        <v>622900000</v>
      </c>
      <c r="AA40" s="45">
        <v>96080000000000</v>
      </c>
      <c r="AB40" s="33">
        <v>1</v>
      </c>
      <c r="AC40" s="32">
        <v>1</v>
      </c>
      <c r="AD40" s="32">
        <v>1</v>
      </c>
      <c r="AE40" s="33">
        <v>1</v>
      </c>
      <c r="AF40" s="32">
        <v>1</v>
      </c>
      <c r="AG40" s="32">
        <v>1</v>
      </c>
    </row>
  </sheetData>
  <pageMargins left="0.7" right="0.7" top="0.75" bottom="0.75" header="0.3" footer="0.3"/>
  <pageSetup paperSize="2058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/>
  <dimension ref="A1:AG7"/>
  <sheetViews>
    <sheetView topLeftCell="R1" workbookViewId="0">
      <selection activeCell="AA2" sqref="AA2:AD2"/>
    </sheetView>
  </sheetViews>
  <sheetFormatPr baseColWidth="10" defaultColWidth="11.3984375" defaultRowHeight="14.25" x14ac:dyDescent="0.45"/>
  <cols>
    <col min="1" max="2" width="18.33203125" style="51" customWidth="1"/>
    <col min="3" max="4" width="8.3984375" style="51" bestFit="1" customWidth="1"/>
    <col min="5" max="8" width="7.3984375" style="51" bestFit="1" customWidth="1"/>
    <col min="9" max="9" width="8.3984375" style="51" bestFit="1" customWidth="1"/>
    <col min="10" max="10" width="9.3984375" style="51" bestFit="1" customWidth="1"/>
    <col min="11" max="11" width="9.1328125" style="51" bestFit="1" customWidth="1"/>
    <col min="12" max="12" width="8.3984375" style="51" bestFit="1" customWidth="1"/>
    <col min="13" max="13" width="12.86328125" style="51" bestFit="1" customWidth="1"/>
    <col min="14" max="15" width="11.86328125" style="51" bestFit="1" customWidth="1"/>
    <col min="16" max="16" width="8.3984375" style="51" bestFit="1" customWidth="1"/>
    <col min="17" max="17" width="9.3984375" style="51" bestFit="1" customWidth="1"/>
    <col min="18" max="18" width="12.86328125" style="51" bestFit="1" customWidth="1"/>
    <col min="19" max="20" width="10.86328125" style="51" bestFit="1" customWidth="1"/>
    <col min="21" max="22" width="8.3984375" style="51" bestFit="1" customWidth="1"/>
    <col min="23" max="23" width="11.86328125" style="51" bestFit="1" customWidth="1"/>
    <col min="24" max="24" width="15.265625" style="51" bestFit="1" customWidth="1"/>
    <col min="25" max="26" width="8.3984375" style="51" bestFit="1" customWidth="1"/>
    <col min="27" max="30" width="7.3984375" style="51" bestFit="1" customWidth="1"/>
    <col min="31" max="32" width="38" style="51" bestFit="1" customWidth="1"/>
    <col min="33" max="33" width="35.1328125" style="51" bestFit="1" customWidth="1"/>
    <col min="34" max="16384" width="11.3984375" style="51"/>
  </cols>
  <sheetData>
    <row r="1" spans="1:33" s="92" customFormat="1" ht="25.9" x14ac:dyDescent="0.45">
      <c r="A1" s="25" t="s">
        <v>1</v>
      </c>
      <c r="B1" s="25" t="s">
        <v>2</v>
      </c>
      <c r="C1" s="25" t="s">
        <v>3</v>
      </c>
      <c r="D1" s="25" t="s">
        <v>4</v>
      </c>
      <c r="E1" s="25" t="s">
        <v>116</v>
      </c>
      <c r="F1" s="25" t="s">
        <v>6</v>
      </c>
      <c r="G1" s="25" t="s">
        <v>362</v>
      </c>
      <c r="H1" s="25" t="s">
        <v>363</v>
      </c>
      <c r="I1" s="25" t="s">
        <v>10</v>
      </c>
      <c r="J1" s="25" t="s">
        <v>8</v>
      </c>
      <c r="K1" s="25" t="s">
        <v>14</v>
      </c>
      <c r="L1" s="25" t="s">
        <v>15</v>
      </c>
      <c r="M1" s="25" t="s">
        <v>16</v>
      </c>
      <c r="N1" s="25" t="s">
        <v>17</v>
      </c>
      <c r="O1" s="25" t="s">
        <v>18</v>
      </c>
      <c r="P1" s="25" t="s">
        <v>19</v>
      </c>
      <c r="Q1" s="25" t="s">
        <v>20</v>
      </c>
      <c r="R1" s="25" t="s">
        <v>21</v>
      </c>
      <c r="S1" s="25" t="s">
        <v>22</v>
      </c>
      <c r="T1" s="25" t="s">
        <v>23</v>
      </c>
      <c r="U1" s="25" t="s">
        <v>24</v>
      </c>
      <c r="V1" s="25" t="s">
        <v>25</v>
      </c>
      <c r="W1" s="25" t="s">
        <v>26</v>
      </c>
      <c r="X1" s="25" t="s">
        <v>27</v>
      </c>
      <c r="Y1" s="25" t="s">
        <v>346</v>
      </c>
      <c r="Z1" s="25" t="s">
        <v>347</v>
      </c>
      <c r="AA1" s="49" t="s">
        <v>28</v>
      </c>
      <c r="AB1" s="49" t="s">
        <v>29</v>
      </c>
      <c r="AC1" s="49" t="s">
        <v>28</v>
      </c>
      <c r="AD1" s="49" t="s">
        <v>29</v>
      </c>
      <c r="AE1" s="158"/>
      <c r="AF1" s="158"/>
      <c r="AG1" s="159"/>
    </row>
    <row r="2" spans="1:33" s="92" customFormat="1" ht="59.65" x14ac:dyDescent="0.45">
      <c r="A2" s="25" t="s">
        <v>731</v>
      </c>
      <c r="B2" s="25" t="s">
        <v>31</v>
      </c>
      <c r="C2" s="25" t="s">
        <v>32</v>
      </c>
      <c r="D2" s="25" t="s">
        <v>32</v>
      </c>
      <c r="E2" s="25" t="s">
        <v>32</v>
      </c>
      <c r="F2" s="25" t="s">
        <v>32</v>
      </c>
      <c r="G2" s="25" t="s">
        <v>32</v>
      </c>
      <c r="H2" s="25" t="s">
        <v>32</v>
      </c>
      <c r="I2" s="25" t="s">
        <v>32</v>
      </c>
      <c r="J2" s="25" t="s">
        <v>33</v>
      </c>
      <c r="K2" s="25" t="s">
        <v>35</v>
      </c>
      <c r="L2" s="25" t="s">
        <v>36</v>
      </c>
      <c r="M2" s="25" t="s">
        <v>37</v>
      </c>
      <c r="N2" s="25" t="s">
        <v>38</v>
      </c>
      <c r="O2" s="25" t="s">
        <v>38</v>
      </c>
      <c r="P2" s="25" t="s">
        <v>32</v>
      </c>
      <c r="Q2" s="25" t="s">
        <v>33</v>
      </c>
      <c r="R2" s="25" t="s">
        <v>37</v>
      </c>
      <c r="S2" s="25" t="s">
        <v>38</v>
      </c>
      <c r="T2" s="25" t="s">
        <v>38</v>
      </c>
      <c r="U2" s="25" t="s">
        <v>32</v>
      </c>
      <c r="V2" s="25" t="s">
        <v>32</v>
      </c>
      <c r="W2" s="25" t="s">
        <v>37</v>
      </c>
      <c r="X2" s="25" t="s">
        <v>39</v>
      </c>
      <c r="Y2" s="25" t="s">
        <v>32</v>
      </c>
      <c r="Z2" s="25" t="s">
        <v>32</v>
      </c>
      <c r="AA2" s="50" t="s">
        <v>732</v>
      </c>
      <c r="AB2" s="50" t="s">
        <v>732</v>
      </c>
      <c r="AC2" s="50" t="s">
        <v>733</v>
      </c>
      <c r="AD2" s="50" t="s">
        <v>733</v>
      </c>
      <c r="AE2" s="91"/>
      <c r="AF2" s="94"/>
      <c r="AG2" s="94"/>
    </row>
    <row r="3" spans="1:33" x14ac:dyDescent="0.45">
      <c r="A3" s="29" t="s">
        <v>420</v>
      </c>
      <c r="B3" s="27">
        <v>2.65</v>
      </c>
      <c r="C3" s="26">
        <v>40</v>
      </c>
      <c r="D3" s="27">
        <v>20</v>
      </c>
      <c r="E3" s="27">
        <v>4</v>
      </c>
      <c r="F3" s="27">
        <v>5.5</v>
      </c>
      <c r="G3" s="27">
        <v>5</v>
      </c>
      <c r="H3" s="27">
        <v>2.5</v>
      </c>
      <c r="I3" s="27">
        <v>18.8</v>
      </c>
      <c r="J3" s="26">
        <v>338</v>
      </c>
      <c r="K3" s="26">
        <v>0.14899999999999999</v>
      </c>
      <c r="L3" s="27">
        <v>56.17</v>
      </c>
      <c r="M3" s="102">
        <v>74300</v>
      </c>
      <c r="N3" s="27">
        <v>3720</v>
      </c>
      <c r="O3" s="27">
        <v>4690</v>
      </c>
      <c r="P3" s="27">
        <v>14.8</v>
      </c>
      <c r="Q3" s="27">
        <v>171</v>
      </c>
      <c r="R3" s="26">
        <v>11399.999999999998</v>
      </c>
      <c r="S3" s="27">
        <v>860</v>
      </c>
      <c r="T3" s="27">
        <v>1630</v>
      </c>
      <c r="U3" s="27">
        <v>5.8</v>
      </c>
      <c r="V3" s="26">
        <v>12.5</v>
      </c>
      <c r="W3" s="27">
        <v>3100</v>
      </c>
      <c r="X3" s="27">
        <v>2000000</v>
      </c>
      <c r="Y3" s="27">
        <v>6.8000000000000007</v>
      </c>
      <c r="Z3" s="27">
        <v>11.5</v>
      </c>
      <c r="AA3" s="26">
        <v>1</v>
      </c>
      <c r="AB3" s="27">
        <v>1</v>
      </c>
      <c r="AC3" s="26">
        <v>1</v>
      </c>
      <c r="AD3" s="27">
        <v>1</v>
      </c>
      <c r="AE3" s="29" t="s">
        <v>41</v>
      </c>
    </row>
    <row r="4" spans="1:33" x14ac:dyDescent="0.45">
      <c r="A4" s="40" t="s">
        <v>421</v>
      </c>
      <c r="B4" s="36">
        <v>2.87</v>
      </c>
      <c r="C4" s="35">
        <v>40</v>
      </c>
      <c r="D4" s="36">
        <v>20</v>
      </c>
      <c r="E4" s="36">
        <v>5</v>
      </c>
      <c r="F4" s="36">
        <v>5.5</v>
      </c>
      <c r="G4" s="36">
        <v>5</v>
      </c>
      <c r="H4" s="36">
        <v>2.5</v>
      </c>
      <c r="I4" s="36">
        <v>19</v>
      </c>
      <c r="J4" s="35">
        <v>366</v>
      </c>
      <c r="K4" s="35">
        <v>0.14199999999999999</v>
      </c>
      <c r="L4" s="36">
        <v>51.2</v>
      </c>
      <c r="M4" s="106">
        <v>75800</v>
      </c>
      <c r="N4" s="36">
        <v>3790</v>
      </c>
      <c r="O4" s="36">
        <v>4910</v>
      </c>
      <c r="P4" s="36">
        <v>14.399999999999999</v>
      </c>
      <c r="Q4" s="36">
        <v>196</v>
      </c>
      <c r="R4" s="35">
        <v>11399.999999999998</v>
      </c>
      <c r="S4" s="36">
        <v>860</v>
      </c>
      <c r="T4" s="36">
        <v>1650</v>
      </c>
      <c r="U4" s="36">
        <v>5.6000000000000005</v>
      </c>
      <c r="V4" s="35">
        <v>13.4</v>
      </c>
      <c r="W4" s="36">
        <v>3900</v>
      </c>
      <c r="X4" s="36">
        <v>3000000</v>
      </c>
      <c r="Y4" s="36">
        <v>6.7</v>
      </c>
      <c r="Z4" s="36">
        <v>10.1</v>
      </c>
      <c r="AA4" s="35">
        <v>1</v>
      </c>
      <c r="AB4" s="36">
        <v>1</v>
      </c>
      <c r="AC4" s="35">
        <v>1</v>
      </c>
      <c r="AD4" s="36">
        <v>1</v>
      </c>
      <c r="AE4" s="29" t="s">
        <v>41</v>
      </c>
    </row>
    <row r="5" spans="1:33" x14ac:dyDescent="0.45">
      <c r="A5" s="40" t="s">
        <v>422</v>
      </c>
      <c r="B5" s="36">
        <v>3.86</v>
      </c>
      <c r="C5" s="35">
        <v>50</v>
      </c>
      <c r="D5" s="36">
        <v>25</v>
      </c>
      <c r="E5" s="36">
        <v>5</v>
      </c>
      <c r="F5" s="36">
        <v>6</v>
      </c>
      <c r="G5" s="36">
        <v>6</v>
      </c>
      <c r="H5" s="36">
        <v>3</v>
      </c>
      <c r="I5" s="36">
        <v>25.7</v>
      </c>
      <c r="J5" s="35">
        <v>492</v>
      </c>
      <c r="K5" s="35">
        <v>0.18099999999999999</v>
      </c>
      <c r="L5" s="36">
        <v>48.22</v>
      </c>
      <c r="M5" s="106">
        <v>168000</v>
      </c>
      <c r="N5" s="36">
        <v>6730</v>
      </c>
      <c r="O5" s="36">
        <v>8520</v>
      </c>
      <c r="P5" s="36">
        <v>18.5</v>
      </c>
      <c r="Q5" s="36">
        <v>252</v>
      </c>
      <c r="R5" s="35">
        <v>24900.000000000004</v>
      </c>
      <c r="S5" s="36">
        <v>1480</v>
      </c>
      <c r="T5" s="36">
        <v>2840</v>
      </c>
      <c r="U5" s="36">
        <v>7.1</v>
      </c>
      <c r="V5" s="35">
        <v>14.6</v>
      </c>
      <c r="W5" s="36">
        <v>5900</v>
      </c>
      <c r="X5" s="36">
        <v>9000000</v>
      </c>
      <c r="Y5" s="36">
        <v>8.1000000000000014</v>
      </c>
      <c r="Z5" s="36">
        <v>13.4</v>
      </c>
      <c r="AA5" s="35">
        <v>1</v>
      </c>
      <c r="AB5" s="36">
        <v>1</v>
      </c>
      <c r="AC5" s="35">
        <v>1</v>
      </c>
      <c r="AD5" s="36">
        <v>1</v>
      </c>
      <c r="AE5" s="29" t="s">
        <v>41</v>
      </c>
    </row>
    <row r="6" spans="1:33" x14ac:dyDescent="0.45">
      <c r="A6" s="40" t="s">
        <v>423</v>
      </c>
      <c r="B6" s="36">
        <v>5.07</v>
      </c>
      <c r="C6" s="35">
        <v>60</v>
      </c>
      <c r="D6" s="36">
        <v>30</v>
      </c>
      <c r="E6" s="36">
        <v>6</v>
      </c>
      <c r="F6" s="36">
        <v>6</v>
      </c>
      <c r="G6" s="36">
        <v>6</v>
      </c>
      <c r="H6" s="36">
        <v>3</v>
      </c>
      <c r="I6" s="36">
        <v>35.5</v>
      </c>
      <c r="J6" s="35">
        <v>646</v>
      </c>
      <c r="K6" s="35">
        <v>0.215</v>
      </c>
      <c r="L6" s="36">
        <v>44.06</v>
      </c>
      <c r="M6" s="106">
        <v>316000</v>
      </c>
      <c r="N6" s="36">
        <v>10500</v>
      </c>
      <c r="O6" s="36">
        <v>13300</v>
      </c>
      <c r="P6" s="36">
        <v>22.1</v>
      </c>
      <c r="Q6" s="36">
        <v>354</v>
      </c>
      <c r="R6" s="35">
        <v>45100</v>
      </c>
      <c r="S6" s="36">
        <v>2160</v>
      </c>
      <c r="T6" s="36">
        <v>4190</v>
      </c>
      <c r="U6" s="36">
        <v>8.4</v>
      </c>
      <c r="V6" s="35">
        <v>15.8</v>
      </c>
      <c r="W6" s="36">
        <v>8900</v>
      </c>
      <c r="X6" s="36">
        <v>24000000</v>
      </c>
      <c r="Y6" s="36">
        <v>9.1</v>
      </c>
      <c r="Z6" s="36">
        <v>15</v>
      </c>
      <c r="AA6" s="35">
        <v>1</v>
      </c>
      <c r="AB6" s="36">
        <v>1</v>
      </c>
      <c r="AC6" s="35">
        <v>1</v>
      </c>
      <c r="AD6" s="36">
        <v>1</v>
      </c>
      <c r="AE6" s="29" t="s">
        <v>41</v>
      </c>
    </row>
    <row r="7" spans="1:33" x14ac:dyDescent="0.45">
      <c r="A7" s="75" t="s">
        <v>424</v>
      </c>
      <c r="B7" s="76">
        <v>7.09</v>
      </c>
      <c r="C7" s="77">
        <v>65</v>
      </c>
      <c r="D7" s="76">
        <v>42</v>
      </c>
      <c r="E7" s="76">
        <v>5.5</v>
      </c>
      <c r="F7" s="76">
        <v>7.5</v>
      </c>
      <c r="G7" s="76">
        <v>7.5</v>
      </c>
      <c r="H7" s="76">
        <v>4</v>
      </c>
      <c r="I7" s="76">
        <v>33.700000000000003</v>
      </c>
      <c r="J7" s="77">
        <v>902.99999999999989</v>
      </c>
      <c r="K7" s="77">
        <v>0.27300000000000002</v>
      </c>
      <c r="L7" s="76">
        <v>39.57</v>
      </c>
      <c r="M7" s="109">
        <v>575000</v>
      </c>
      <c r="N7" s="76">
        <v>17700</v>
      </c>
      <c r="O7" s="76">
        <v>21700</v>
      </c>
      <c r="P7" s="76">
        <v>25.2</v>
      </c>
      <c r="Q7" s="76">
        <v>368</v>
      </c>
      <c r="R7" s="77">
        <v>141000</v>
      </c>
      <c r="S7" s="76">
        <v>5070</v>
      </c>
      <c r="T7" s="76">
        <v>9380</v>
      </c>
      <c r="U7" s="76">
        <v>12.5</v>
      </c>
      <c r="V7" s="77">
        <v>18</v>
      </c>
      <c r="W7" s="76">
        <v>16100.000000000002</v>
      </c>
      <c r="X7" s="76">
        <v>82000000</v>
      </c>
      <c r="Y7" s="76">
        <v>14.2</v>
      </c>
      <c r="Z7" s="76">
        <v>26</v>
      </c>
      <c r="AA7" s="77">
        <v>1</v>
      </c>
      <c r="AB7" s="76">
        <v>1</v>
      </c>
      <c r="AC7" s="77">
        <v>1</v>
      </c>
      <c r="AD7" s="76">
        <v>1</v>
      </c>
      <c r="AE7" s="29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0"/>
  <dimension ref="A1:AB109"/>
  <sheetViews>
    <sheetView topLeftCell="T1" zoomScale="85" zoomScaleNormal="85" workbookViewId="0">
      <selection activeCell="Z2" sqref="Z2:AB2"/>
    </sheetView>
  </sheetViews>
  <sheetFormatPr baseColWidth="10" defaultColWidth="11.3984375" defaultRowHeight="14.25" x14ac:dyDescent="0.45"/>
  <cols>
    <col min="1" max="1" width="14.73046875" style="51" bestFit="1" customWidth="1"/>
    <col min="2" max="3" width="9.59765625" style="51" bestFit="1" customWidth="1"/>
    <col min="4" max="5" width="8.59765625" style="51" bestFit="1" customWidth="1"/>
    <col min="6" max="6" width="7.59765625" style="51" bestFit="1" customWidth="1"/>
    <col min="7" max="7" width="12.1328125" style="51" bestFit="1" customWidth="1"/>
    <col min="8" max="8" width="6.73046875" style="51" bestFit="1" customWidth="1"/>
    <col min="9" max="9" width="8.59765625" style="51" bestFit="1" customWidth="1"/>
    <col min="10" max="10" width="9.59765625" style="51" bestFit="1" customWidth="1"/>
    <col min="11" max="11" width="12.1328125" style="51" bestFit="1" customWidth="1"/>
    <col min="12" max="12" width="8.59765625" style="51" bestFit="1" customWidth="1"/>
    <col min="13" max="14" width="9.59765625" style="51" bestFit="1" customWidth="1"/>
    <col min="15" max="15" width="8.59765625" style="51" bestFit="1" customWidth="1"/>
    <col min="16" max="16" width="7.59765625" style="51" bestFit="1" customWidth="1"/>
    <col min="17" max="17" width="8.59765625" style="51" bestFit="1" customWidth="1"/>
    <col min="18" max="18" width="15.59765625" style="51" bestFit="1" customWidth="1"/>
    <col min="19" max="19" width="13.73046875" style="51" bestFit="1" customWidth="1"/>
    <col min="20" max="20" width="11" style="51" bestFit="1" customWidth="1"/>
    <col min="21" max="21" width="13.1328125" style="51" bestFit="1" customWidth="1"/>
    <col min="22" max="24" width="12.1328125" style="51" bestFit="1" customWidth="1"/>
    <col min="25" max="25" width="15.59765625" style="51" bestFit="1" customWidth="1"/>
    <col min="26" max="28" width="7.59765625" style="51" bestFit="1" customWidth="1"/>
    <col min="29" max="16384" width="11.3984375" style="51"/>
  </cols>
  <sheetData>
    <row r="1" spans="1:28" s="92" customFormat="1" ht="25.9" x14ac:dyDescent="0.45">
      <c r="A1" s="25" t="s">
        <v>1</v>
      </c>
      <c r="B1" s="48" t="s">
        <v>2</v>
      </c>
      <c r="C1" s="25" t="s">
        <v>425</v>
      </c>
      <c r="D1" s="25" t="s">
        <v>426</v>
      </c>
      <c r="E1" s="25" t="s">
        <v>362</v>
      </c>
      <c r="F1" s="25" t="s">
        <v>363</v>
      </c>
      <c r="G1" s="25" t="s">
        <v>8</v>
      </c>
      <c r="H1" s="25" t="s">
        <v>117</v>
      </c>
      <c r="I1" s="25" t="s">
        <v>344</v>
      </c>
      <c r="J1" s="25" t="s">
        <v>345</v>
      </c>
      <c r="K1" s="25" t="s">
        <v>427</v>
      </c>
      <c r="L1" s="48" t="s">
        <v>428</v>
      </c>
      <c r="M1" s="48" t="s">
        <v>429</v>
      </c>
      <c r="N1" s="48" t="s">
        <v>430</v>
      </c>
      <c r="O1" s="48" t="s">
        <v>431</v>
      </c>
      <c r="P1" s="48" t="s">
        <v>14</v>
      </c>
      <c r="Q1" s="48" t="s">
        <v>15</v>
      </c>
      <c r="R1" s="48" t="s">
        <v>432</v>
      </c>
      <c r="S1" s="48" t="s">
        <v>433</v>
      </c>
      <c r="T1" s="48" t="s">
        <v>434</v>
      </c>
      <c r="U1" s="48" t="s">
        <v>435</v>
      </c>
      <c r="V1" s="48" t="s">
        <v>436</v>
      </c>
      <c r="W1" s="48" t="s">
        <v>437</v>
      </c>
      <c r="X1" s="48" t="s">
        <v>438</v>
      </c>
      <c r="Y1" s="48" t="s">
        <v>439</v>
      </c>
      <c r="Z1" s="49" t="s">
        <v>28</v>
      </c>
      <c r="AA1" s="49" t="s">
        <v>29</v>
      </c>
      <c r="AB1" s="50" t="s">
        <v>30</v>
      </c>
    </row>
    <row r="2" spans="1:28" s="92" customFormat="1" ht="59.65" x14ac:dyDescent="0.45">
      <c r="A2" s="25" t="s">
        <v>731</v>
      </c>
      <c r="B2" s="25" t="s">
        <v>31</v>
      </c>
      <c r="C2" s="25" t="s">
        <v>32</v>
      </c>
      <c r="D2" s="25" t="s">
        <v>32</v>
      </c>
      <c r="E2" s="25" t="s">
        <v>32</v>
      </c>
      <c r="F2" s="25" t="s">
        <v>32</v>
      </c>
      <c r="G2" s="25" t="s">
        <v>33</v>
      </c>
      <c r="H2" s="25"/>
      <c r="I2" s="25" t="s">
        <v>32</v>
      </c>
      <c r="J2" s="25" t="s">
        <v>32</v>
      </c>
      <c r="K2" s="25" t="s">
        <v>33</v>
      </c>
      <c r="L2" s="48" t="s">
        <v>32</v>
      </c>
      <c r="M2" s="48" t="s">
        <v>32</v>
      </c>
      <c r="N2" s="48" t="s">
        <v>32</v>
      </c>
      <c r="O2" s="48" t="s">
        <v>32</v>
      </c>
      <c r="P2" s="48" t="s">
        <v>440</v>
      </c>
      <c r="Q2" s="48" t="s">
        <v>441</v>
      </c>
      <c r="R2" s="48" t="s">
        <v>37</v>
      </c>
      <c r="S2" s="48" t="s">
        <v>38</v>
      </c>
      <c r="T2" s="48" t="s">
        <v>32</v>
      </c>
      <c r="U2" s="48" t="s">
        <v>37</v>
      </c>
      <c r="V2" s="48" t="s">
        <v>32</v>
      </c>
      <c r="W2" s="48" t="s">
        <v>37</v>
      </c>
      <c r="X2" s="48" t="s">
        <v>32</v>
      </c>
      <c r="Y2" s="48" t="s">
        <v>37</v>
      </c>
      <c r="Z2" s="50" t="s">
        <v>733</v>
      </c>
      <c r="AA2" s="50" t="s">
        <v>733</v>
      </c>
      <c r="AB2" s="50" t="s">
        <v>733</v>
      </c>
    </row>
    <row r="3" spans="1:28" x14ac:dyDescent="0.45">
      <c r="A3" s="29" t="s">
        <v>442</v>
      </c>
      <c r="B3" s="69">
        <v>0.879</v>
      </c>
      <c r="C3" s="26">
        <v>20</v>
      </c>
      <c r="D3" s="27">
        <v>3</v>
      </c>
      <c r="E3" s="27">
        <v>3.5</v>
      </c>
      <c r="F3" s="27">
        <v>2</v>
      </c>
      <c r="G3" s="26">
        <v>112.00000000000001</v>
      </c>
      <c r="H3" s="26">
        <v>0</v>
      </c>
      <c r="I3" s="26">
        <v>0</v>
      </c>
      <c r="J3" s="26">
        <v>0</v>
      </c>
      <c r="K3" s="26">
        <v>0</v>
      </c>
      <c r="L3" s="26">
        <v>5.96</v>
      </c>
      <c r="M3" s="27">
        <v>14.1</v>
      </c>
      <c r="N3" s="27">
        <v>8.43</v>
      </c>
      <c r="O3" s="27">
        <v>7</v>
      </c>
      <c r="P3" s="26">
        <v>7.6999999999999999E-2</v>
      </c>
      <c r="Q3" s="27">
        <v>87.4</v>
      </c>
      <c r="R3" s="26">
        <v>3880</v>
      </c>
      <c r="S3" s="27">
        <v>276</v>
      </c>
      <c r="T3" s="27">
        <v>589</v>
      </c>
      <c r="U3" s="26">
        <v>6.14</v>
      </c>
      <c r="V3" s="27">
        <v>7400</v>
      </c>
      <c r="W3" s="26">
        <v>1.62</v>
      </c>
      <c r="X3" s="27">
        <v>3800</v>
      </c>
      <c r="Y3" s="26">
        <v>-2260.0000000000005</v>
      </c>
      <c r="Z3" s="26">
        <v>1</v>
      </c>
      <c r="AA3" s="27">
        <v>1</v>
      </c>
      <c r="AB3" s="27"/>
    </row>
    <row r="4" spans="1:28" x14ac:dyDescent="0.45">
      <c r="A4" s="104" t="s">
        <v>443</v>
      </c>
      <c r="B4" s="71">
        <v>1.1100000000000001</v>
      </c>
      <c r="C4" s="30">
        <v>25</v>
      </c>
      <c r="D4" s="31">
        <v>3</v>
      </c>
      <c r="E4" s="31">
        <v>3.5</v>
      </c>
      <c r="F4" s="31">
        <v>2</v>
      </c>
      <c r="G4" s="30">
        <v>142</v>
      </c>
      <c r="H4" s="30">
        <v>0</v>
      </c>
      <c r="I4" s="30">
        <v>0</v>
      </c>
      <c r="J4" s="30">
        <v>0</v>
      </c>
      <c r="K4" s="30">
        <v>0</v>
      </c>
      <c r="L4" s="30">
        <v>7.21</v>
      </c>
      <c r="M4" s="31">
        <v>17.7</v>
      </c>
      <c r="N4" s="31">
        <v>10.199999999999999</v>
      </c>
      <c r="O4" s="31">
        <v>8.77</v>
      </c>
      <c r="P4" s="30">
        <v>9.7000000000000003E-2</v>
      </c>
      <c r="Q4" s="31">
        <v>86.88</v>
      </c>
      <c r="R4" s="30">
        <v>7960</v>
      </c>
      <c r="S4" s="31">
        <v>448</v>
      </c>
      <c r="T4" s="31">
        <v>749</v>
      </c>
      <c r="U4" s="30">
        <v>12.6</v>
      </c>
      <c r="V4" s="31">
        <v>9440</v>
      </c>
      <c r="W4" s="30">
        <v>3.29</v>
      </c>
      <c r="X4" s="31">
        <v>4810</v>
      </c>
      <c r="Y4" s="30">
        <v>-4670</v>
      </c>
      <c r="Z4" s="30">
        <v>1</v>
      </c>
      <c r="AA4" s="31">
        <v>1</v>
      </c>
      <c r="AB4" s="31"/>
    </row>
    <row r="5" spans="1:28" x14ac:dyDescent="0.45">
      <c r="A5" s="105" t="s">
        <v>444</v>
      </c>
      <c r="B5" s="73">
        <v>1.45</v>
      </c>
      <c r="C5" s="35">
        <v>25</v>
      </c>
      <c r="D5" s="36">
        <v>4</v>
      </c>
      <c r="E5" s="36">
        <v>3.5</v>
      </c>
      <c r="F5" s="36">
        <v>2</v>
      </c>
      <c r="G5" s="35">
        <v>185</v>
      </c>
      <c r="H5" s="35">
        <v>0</v>
      </c>
      <c r="I5" s="35">
        <v>0</v>
      </c>
      <c r="J5" s="35">
        <v>0</v>
      </c>
      <c r="K5" s="35">
        <v>0</v>
      </c>
      <c r="L5" s="35">
        <v>7.61</v>
      </c>
      <c r="M5" s="36">
        <v>17.7</v>
      </c>
      <c r="N5" s="36">
        <v>10.8</v>
      </c>
      <c r="O5" s="36">
        <v>8.92</v>
      </c>
      <c r="P5" s="35">
        <v>9.7000000000000003E-2</v>
      </c>
      <c r="Q5" s="36">
        <v>66.67</v>
      </c>
      <c r="R5" s="35">
        <v>10100</v>
      </c>
      <c r="S5" s="36">
        <v>582</v>
      </c>
      <c r="T5" s="36">
        <v>740</v>
      </c>
      <c r="U5" s="35">
        <v>16</v>
      </c>
      <c r="V5" s="36">
        <v>9300</v>
      </c>
      <c r="W5" s="35">
        <v>4.25</v>
      </c>
      <c r="X5" s="36">
        <v>4790</v>
      </c>
      <c r="Y5" s="35">
        <v>-5869.9999999999991</v>
      </c>
      <c r="Z5" s="35">
        <v>1</v>
      </c>
      <c r="AA5" s="36">
        <v>1</v>
      </c>
      <c r="AB5" s="36"/>
    </row>
    <row r="6" spans="1:28" x14ac:dyDescent="0.45">
      <c r="A6" s="105" t="s">
        <v>445</v>
      </c>
      <c r="B6" s="73">
        <v>1.36</v>
      </c>
      <c r="C6" s="35">
        <v>30</v>
      </c>
      <c r="D6" s="36">
        <v>3</v>
      </c>
      <c r="E6" s="36">
        <v>5</v>
      </c>
      <c r="F6" s="36">
        <v>2.5</v>
      </c>
      <c r="G6" s="35">
        <v>174</v>
      </c>
      <c r="H6" s="35">
        <v>0</v>
      </c>
      <c r="I6" s="35"/>
      <c r="J6" s="35"/>
      <c r="K6" s="35">
        <v>0</v>
      </c>
      <c r="L6" s="35">
        <v>8.35</v>
      </c>
      <c r="M6" s="36">
        <v>21.200000000000003</v>
      </c>
      <c r="N6" s="36">
        <v>11.799999999999999</v>
      </c>
      <c r="O6" s="36">
        <v>10.5</v>
      </c>
      <c r="P6" s="35">
        <v>0.11600000000000001</v>
      </c>
      <c r="Q6" s="36">
        <v>84.87</v>
      </c>
      <c r="R6" s="35">
        <v>14000</v>
      </c>
      <c r="S6" s="36">
        <v>649</v>
      </c>
      <c r="T6" s="36">
        <v>899</v>
      </c>
      <c r="U6" s="35">
        <v>22.3</v>
      </c>
      <c r="V6" s="36">
        <v>11299.999999999998</v>
      </c>
      <c r="W6" s="35">
        <v>5.7899999999999991</v>
      </c>
      <c r="X6" s="36">
        <v>5780</v>
      </c>
      <c r="Y6" s="35">
        <v>-8250</v>
      </c>
      <c r="Z6" s="35">
        <v>1</v>
      </c>
      <c r="AA6" s="36">
        <v>2</v>
      </c>
      <c r="AB6" s="36"/>
    </row>
    <row r="7" spans="1:28" x14ac:dyDescent="0.45">
      <c r="A7" s="104" t="s">
        <v>446</v>
      </c>
      <c r="B7" s="71">
        <v>1.78</v>
      </c>
      <c r="C7" s="30">
        <v>30</v>
      </c>
      <c r="D7" s="31">
        <v>4</v>
      </c>
      <c r="E7" s="31">
        <v>5</v>
      </c>
      <c r="F7" s="31">
        <v>2.5</v>
      </c>
      <c r="G7" s="30">
        <v>227</v>
      </c>
      <c r="H7" s="30">
        <v>0</v>
      </c>
      <c r="I7" s="30"/>
      <c r="J7" s="30"/>
      <c r="K7" s="30">
        <v>0</v>
      </c>
      <c r="L7" s="30">
        <v>8.7799999999999994</v>
      </c>
      <c r="M7" s="31">
        <v>21.200000000000003</v>
      </c>
      <c r="N7" s="31">
        <v>12.4</v>
      </c>
      <c r="O7" s="31">
        <v>10.600000000000001</v>
      </c>
      <c r="P7" s="30">
        <v>0.11600000000000001</v>
      </c>
      <c r="Q7" s="31">
        <v>65.02</v>
      </c>
      <c r="R7" s="30">
        <v>18000</v>
      </c>
      <c r="S7" s="31">
        <v>850</v>
      </c>
      <c r="T7" s="31">
        <v>892</v>
      </c>
      <c r="U7" s="30">
        <v>28.599999999999998</v>
      </c>
      <c r="V7" s="31">
        <v>11200.000000000002</v>
      </c>
      <c r="W7" s="30">
        <v>7.49</v>
      </c>
      <c r="X7" s="31">
        <v>5750</v>
      </c>
      <c r="Y7" s="30">
        <v>-10500</v>
      </c>
      <c r="Z7" s="30">
        <v>1</v>
      </c>
      <c r="AA7" s="31">
        <v>1</v>
      </c>
      <c r="AB7" s="31"/>
    </row>
    <row r="8" spans="1:28" x14ac:dyDescent="0.45">
      <c r="A8" s="104" t="s">
        <v>447</v>
      </c>
      <c r="B8" s="71">
        <v>2.09</v>
      </c>
      <c r="C8" s="30">
        <v>35</v>
      </c>
      <c r="D8" s="31">
        <v>4</v>
      </c>
      <c r="E8" s="31">
        <v>5</v>
      </c>
      <c r="F8" s="31">
        <v>2.5</v>
      </c>
      <c r="G8" s="30">
        <v>267</v>
      </c>
      <c r="H8" s="30">
        <v>0</v>
      </c>
      <c r="I8" s="30"/>
      <c r="J8" s="30"/>
      <c r="K8" s="30">
        <v>0</v>
      </c>
      <c r="L8" s="30">
        <v>10</v>
      </c>
      <c r="M8" s="31">
        <v>24.700000000000003</v>
      </c>
      <c r="N8" s="31">
        <v>14.2</v>
      </c>
      <c r="O8" s="31">
        <v>12.4</v>
      </c>
      <c r="P8" s="30">
        <v>0.13600000000000001</v>
      </c>
      <c r="Q8" s="31">
        <v>64.819999999999993</v>
      </c>
      <c r="R8" s="30">
        <v>29500</v>
      </c>
      <c r="S8" s="31">
        <v>1180</v>
      </c>
      <c r="T8" s="31">
        <v>1050</v>
      </c>
      <c r="U8" s="30">
        <v>46.900000000000006</v>
      </c>
      <c r="V8" s="31">
        <v>13300</v>
      </c>
      <c r="W8" s="30">
        <v>12.2</v>
      </c>
      <c r="X8" s="31">
        <v>6800.0000000000009</v>
      </c>
      <c r="Y8" s="30">
        <v>-17300</v>
      </c>
      <c r="Z8" s="30">
        <v>1</v>
      </c>
      <c r="AA8" s="31">
        <v>1</v>
      </c>
      <c r="AB8" s="31"/>
    </row>
    <row r="9" spans="1:28" x14ac:dyDescent="0.45">
      <c r="A9" s="104" t="s">
        <v>448</v>
      </c>
      <c r="B9" s="71">
        <v>2.42</v>
      </c>
      <c r="C9" s="30">
        <v>40</v>
      </c>
      <c r="D9" s="31">
        <v>4</v>
      </c>
      <c r="E9" s="31">
        <v>6</v>
      </c>
      <c r="F9" s="31">
        <v>3</v>
      </c>
      <c r="G9" s="30">
        <v>308</v>
      </c>
      <c r="H9" s="30">
        <v>0</v>
      </c>
      <c r="I9" s="30"/>
      <c r="J9" s="30"/>
      <c r="K9" s="30">
        <v>0</v>
      </c>
      <c r="L9" s="30">
        <v>11.200000000000001</v>
      </c>
      <c r="M9" s="31">
        <v>28.3</v>
      </c>
      <c r="N9" s="31">
        <v>15.8</v>
      </c>
      <c r="O9" s="31">
        <v>14</v>
      </c>
      <c r="P9" s="30">
        <v>0.155</v>
      </c>
      <c r="Q9" s="31">
        <v>64.069999999999993</v>
      </c>
      <c r="R9" s="30">
        <v>44700</v>
      </c>
      <c r="S9" s="31">
        <v>1550</v>
      </c>
      <c r="T9" s="31">
        <v>1210</v>
      </c>
      <c r="U9" s="30">
        <v>71</v>
      </c>
      <c r="V9" s="31">
        <v>15200</v>
      </c>
      <c r="W9" s="30">
        <v>18.400000000000002</v>
      </c>
      <c r="X9" s="31">
        <v>7700</v>
      </c>
      <c r="Y9" s="30">
        <v>-26299.999999999996</v>
      </c>
      <c r="Z9" s="30">
        <v>1</v>
      </c>
      <c r="AA9" s="31">
        <v>2</v>
      </c>
      <c r="AB9" s="31"/>
    </row>
    <row r="10" spans="1:28" x14ac:dyDescent="0.45">
      <c r="A10" s="105" t="s">
        <v>449</v>
      </c>
      <c r="B10" s="73">
        <v>2.97</v>
      </c>
      <c r="C10" s="35">
        <v>40</v>
      </c>
      <c r="D10" s="36">
        <v>5</v>
      </c>
      <c r="E10" s="36">
        <v>6</v>
      </c>
      <c r="F10" s="36">
        <v>3</v>
      </c>
      <c r="G10" s="35">
        <v>379</v>
      </c>
      <c r="H10" s="35">
        <v>0</v>
      </c>
      <c r="I10" s="35"/>
      <c r="J10" s="35"/>
      <c r="K10" s="35">
        <v>0</v>
      </c>
      <c r="L10" s="35">
        <v>11.6</v>
      </c>
      <c r="M10" s="36">
        <v>28.3</v>
      </c>
      <c r="N10" s="36">
        <v>16.399999999999999</v>
      </c>
      <c r="O10" s="36">
        <v>14.1</v>
      </c>
      <c r="P10" s="35">
        <v>0.155</v>
      </c>
      <c r="Q10" s="36">
        <v>52.07</v>
      </c>
      <c r="R10" s="35">
        <v>54300</v>
      </c>
      <c r="S10" s="36">
        <v>1910</v>
      </c>
      <c r="T10" s="36">
        <v>1200</v>
      </c>
      <c r="U10" s="35">
        <v>86.1</v>
      </c>
      <c r="V10" s="36">
        <v>15100</v>
      </c>
      <c r="W10" s="35">
        <v>22.5</v>
      </c>
      <c r="X10" s="36">
        <v>7700</v>
      </c>
      <c r="Y10" s="35">
        <v>-31800</v>
      </c>
      <c r="Z10" s="35">
        <v>1</v>
      </c>
      <c r="AA10" s="36">
        <v>1</v>
      </c>
      <c r="AB10" s="36"/>
    </row>
    <row r="11" spans="1:28" x14ac:dyDescent="0.45">
      <c r="A11" s="40" t="s">
        <v>450</v>
      </c>
      <c r="B11" s="73">
        <v>2.74</v>
      </c>
      <c r="C11" s="35">
        <v>45</v>
      </c>
      <c r="D11" s="36">
        <v>4</v>
      </c>
      <c r="E11" s="36">
        <v>7</v>
      </c>
      <c r="F11" s="36">
        <v>3.5</v>
      </c>
      <c r="G11" s="35">
        <v>349</v>
      </c>
      <c r="H11" s="35">
        <v>0</v>
      </c>
      <c r="I11" s="35"/>
      <c r="J11" s="35"/>
      <c r="K11" s="35">
        <v>0</v>
      </c>
      <c r="L11" s="35">
        <v>12.3</v>
      </c>
      <c r="M11" s="36">
        <v>31.8</v>
      </c>
      <c r="N11" s="36">
        <v>17.5</v>
      </c>
      <c r="O11" s="36">
        <v>15.700000000000001</v>
      </c>
      <c r="P11" s="35">
        <v>0.17399999999999999</v>
      </c>
      <c r="Q11" s="36">
        <v>63.46</v>
      </c>
      <c r="R11" s="35">
        <v>64300</v>
      </c>
      <c r="S11" s="36">
        <v>1970</v>
      </c>
      <c r="T11" s="36">
        <v>1360</v>
      </c>
      <c r="U11" s="35">
        <v>102.10000000000001</v>
      </c>
      <c r="V11" s="36">
        <v>17100</v>
      </c>
      <c r="W11" s="35">
        <v>26.5</v>
      </c>
      <c r="X11" s="36">
        <v>8700</v>
      </c>
      <c r="Y11" s="35">
        <v>-37800</v>
      </c>
      <c r="Z11" s="35">
        <v>1</v>
      </c>
      <c r="AA11" s="36">
        <v>3</v>
      </c>
      <c r="AB11" s="36"/>
    </row>
    <row r="12" spans="1:28" x14ac:dyDescent="0.45">
      <c r="A12" s="104" t="s">
        <v>451</v>
      </c>
      <c r="B12" s="71">
        <v>3.06</v>
      </c>
      <c r="C12" s="30">
        <v>45</v>
      </c>
      <c r="D12" s="31">
        <v>4.5</v>
      </c>
      <c r="E12" s="31">
        <v>7</v>
      </c>
      <c r="F12" s="31">
        <v>3.5</v>
      </c>
      <c r="G12" s="30">
        <v>390</v>
      </c>
      <c r="H12" s="30">
        <v>0</v>
      </c>
      <c r="I12" s="30"/>
      <c r="J12" s="30"/>
      <c r="K12" s="30">
        <v>0</v>
      </c>
      <c r="L12" s="30">
        <v>12.6</v>
      </c>
      <c r="M12" s="31">
        <v>31.8</v>
      </c>
      <c r="N12" s="31">
        <v>17.8</v>
      </c>
      <c r="O12" s="31">
        <v>15.8</v>
      </c>
      <c r="P12" s="30">
        <v>0.17399999999999999</v>
      </c>
      <c r="Q12" s="31">
        <v>56.83</v>
      </c>
      <c r="R12" s="30">
        <v>71500</v>
      </c>
      <c r="S12" s="31">
        <v>2200</v>
      </c>
      <c r="T12" s="31">
        <v>1350</v>
      </c>
      <c r="U12" s="30">
        <v>113.5</v>
      </c>
      <c r="V12" s="31">
        <v>17100</v>
      </c>
      <c r="W12" s="30">
        <v>29.5</v>
      </c>
      <c r="X12" s="31">
        <v>8700</v>
      </c>
      <c r="Y12" s="30">
        <v>-42000</v>
      </c>
      <c r="Z12" s="30">
        <v>1</v>
      </c>
      <c r="AA12" s="31">
        <v>2</v>
      </c>
      <c r="AB12" s="31"/>
    </row>
    <row r="13" spans="1:28" x14ac:dyDescent="0.45">
      <c r="A13" s="40" t="s">
        <v>452</v>
      </c>
      <c r="B13" s="73">
        <v>3.38</v>
      </c>
      <c r="C13" s="35">
        <v>45</v>
      </c>
      <c r="D13" s="36">
        <v>5</v>
      </c>
      <c r="E13" s="36">
        <v>7</v>
      </c>
      <c r="F13" s="36">
        <v>3.5</v>
      </c>
      <c r="G13" s="35">
        <v>430</v>
      </c>
      <c r="H13" s="35">
        <v>0</v>
      </c>
      <c r="I13" s="35"/>
      <c r="J13" s="35"/>
      <c r="K13" s="35">
        <v>0</v>
      </c>
      <c r="L13" s="35">
        <v>12.8</v>
      </c>
      <c r="M13" s="36">
        <v>31.8</v>
      </c>
      <c r="N13" s="36">
        <v>18.100000000000001</v>
      </c>
      <c r="O13" s="36">
        <v>15.8</v>
      </c>
      <c r="P13" s="35">
        <v>0.17399999999999999</v>
      </c>
      <c r="Q13" s="36">
        <v>51.51</v>
      </c>
      <c r="R13" s="35">
        <v>78400</v>
      </c>
      <c r="S13" s="36">
        <v>2430</v>
      </c>
      <c r="T13" s="36">
        <v>1350</v>
      </c>
      <c r="U13" s="35">
        <v>124.5</v>
      </c>
      <c r="V13" s="36">
        <v>17000</v>
      </c>
      <c r="W13" s="35">
        <v>32.400000000000006</v>
      </c>
      <c r="X13" s="36">
        <v>8700</v>
      </c>
      <c r="Y13" s="35">
        <v>-46000</v>
      </c>
      <c r="Z13" s="35">
        <v>1</v>
      </c>
      <c r="AA13" s="36">
        <v>1</v>
      </c>
      <c r="AB13" s="36"/>
    </row>
    <row r="14" spans="1:28" x14ac:dyDescent="0.45">
      <c r="A14" s="105" t="s">
        <v>453</v>
      </c>
      <c r="B14" s="73">
        <v>3.06</v>
      </c>
      <c r="C14" s="35">
        <v>50</v>
      </c>
      <c r="D14" s="36">
        <v>4</v>
      </c>
      <c r="E14" s="36">
        <v>7</v>
      </c>
      <c r="F14" s="36">
        <v>3.5</v>
      </c>
      <c r="G14" s="35">
        <v>389</v>
      </c>
      <c r="H14" s="35">
        <v>0</v>
      </c>
      <c r="I14" s="35"/>
      <c r="J14" s="35"/>
      <c r="K14" s="35">
        <v>0</v>
      </c>
      <c r="L14" s="35">
        <v>13.600000000000001</v>
      </c>
      <c r="M14" s="36">
        <v>35.4</v>
      </c>
      <c r="N14" s="36">
        <v>19.2</v>
      </c>
      <c r="O14" s="36">
        <v>17.5</v>
      </c>
      <c r="P14" s="35">
        <v>0.19400000000000001</v>
      </c>
      <c r="Q14" s="36">
        <v>63.49</v>
      </c>
      <c r="R14" s="35">
        <v>89700</v>
      </c>
      <c r="S14" s="36">
        <v>2460</v>
      </c>
      <c r="T14" s="36">
        <v>1520</v>
      </c>
      <c r="U14" s="35">
        <v>142.5</v>
      </c>
      <c r="V14" s="36">
        <v>19100</v>
      </c>
      <c r="W14" s="35">
        <v>37</v>
      </c>
      <c r="X14" s="36">
        <v>9700</v>
      </c>
      <c r="Y14" s="35">
        <v>-52800.000000000007</v>
      </c>
      <c r="Z14" s="35">
        <v>2</v>
      </c>
      <c r="AA14" s="36">
        <v>3</v>
      </c>
      <c r="AB14" s="36"/>
    </row>
    <row r="15" spans="1:28" x14ac:dyDescent="0.45">
      <c r="A15" s="104" t="s">
        <v>454</v>
      </c>
      <c r="B15" s="71">
        <v>3.77</v>
      </c>
      <c r="C15" s="30">
        <v>50</v>
      </c>
      <c r="D15" s="31">
        <v>5</v>
      </c>
      <c r="E15" s="31">
        <v>7</v>
      </c>
      <c r="F15" s="31">
        <v>3.5</v>
      </c>
      <c r="G15" s="30">
        <v>480</v>
      </c>
      <c r="H15" s="30">
        <v>0</v>
      </c>
      <c r="I15" s="30"/>
      <c r="J15" s="30"/>
      <c r="K15" s="30">
        <v>0</v>
      </c>
      <c r="L15" s="30">
        <v>14</v>
      </c>
      <c r="M15" s="31">
        <v>35.4</v>
      </c>
      <c r="N15" s="31">
        <v>19.899999999999999</v>
      </c>
      <c r="O15" s="31">
        <v>17.600000000000001</v>
      </c>
      <c r="P15" s="30">
        <v>0.19400000000000001</v>
      </c>
      <c r="Q15" s="31">
        <v>51.46</v>
      </c>
      <c r="R15" s="30">
        <v>109600.00000000001</v>
      </c>
      <c r="S15" s="31">
        <v>3050</v>
      </c>
      <c r="T15" s="31">
        <v>1510</v>
      </c>
      <c r="U15" s="30">
        <v>174.1</v>
      </c>
      <c r="V15" s="31">
        <v>19000</v>
      </c>
      <c r="W15" s="30">
        <v>45.199999999999996</v>
      </c>
      <c r="X15" s="31">
        <v>9700</v>
      </c>
      <c r="Y15" s="30">
        <v>-64500</v>
      </c>
      <c r="Z15" s="30">
        <v>1</v>
      </c>
      <c r="AA15" s="31">
        <v>2</v>
      </c>
      <c r="AB15" s="31"/>
    </row>
    <row r="16" spans="1:28" x14ac:dyDescent="0.45">
      <c r="A16" s="105" t="s">
        <v>455</v>
      </c>
      <c r="B16" s="73">
        <v>4.47</v>
      </c>
      <c r="C16" s="35">
        <v>50</v>
      </c>
      <c r="D16" s="36">
        <v>6</v>
      </c>
      <c r="E16" s="36">
        <v>7</v>
      </c>
      <c r="F16" s="36">
        <v>3.5</v>
      </c>
      <c r="G16" s="35">
        <v>569</v>
      </c>
      <c r="H16" s="35">
        <v>0</v>
      </c>
      <c r="I16" s="35"/>
      <c r="J16" s="35"/>
      <c r="K16" s="35">
        <v>0</v>
      </c>
      <c r="L16" s="35">
        <v>14.5</v>
      </c>
      <c r="M16" s="36">
        <v>35.4</v>
      </c>
      <c r="N16" s="36">
        <v>20.399999999999999</v>
      </c>
      <c r="O16" s="36">
        <v>17.7</v>
      </c>
      <c r="P16" s="35">
        <v>0.19400000000000001</v>
      </c>
      <c r="Q16" s="36">
        <v>43.41</v>
      </c>
      <c r="R16" s="35">
        <v>128400</v>
      </c>
      <c r="S16" s="36">
        <v>3610</v>
      </c>
      <c r="T16" s="36">
        <v>1500</v>
      </c>
      <c r="U16" s="35">
        <v>203.70000000000002</v>
      </c>
      <c r="V16" s="36">
        <v>18900</v>
      </c>
      <c r="W16" s="35">
        <v>53.099999999999994</v>
      </c>
      <c r="X16" s="36">
        <v>9700</v>
      </c>
      <c r="Y16" s="35">
        <v>-75300</v>
      </c>
      <c r="Z16" s="35">
        <v>1</v>
      </c>
      <c r="AA16" s="36">
        <v>1</v>
      </c>
      <c r="AB16" s="36"/>
    </row>
    <row r="17" spans="1:28" x14ac:dyDescent="0.45">
      <c r="A17" s="43" t="s">
        <v>456</v>
      </c>
      <c r="B17" s="71">
        <v>5.15</v>
      </c>
      <c r="C17" s="30">
        <v>50</v>
      </c>
      <c r="D17" s="31">
        <v>7</v>
      </c>
      <c r="E17" s="31">
        <v>7</v>
      </c>
      <c r="F17" s="31">
        <v>3.5</v>
      </c>
      <c r="G17" s="30">
        <v>656</v>
      </c>
      <c r="H17" s="30">
        <v>0</v>
      </c>
      <c r="I17" s="30"/>
      <c r="J17" s="30"/>
      <c r="K17" s="30">
        <v>0</v>
      </c>
      <c r="L17" s="30">
        <v>14.9</v>
      </c>
      <c r="M17" s="31">
        <v>35.4</v>
      </c>
      <c r="N17" s="31">
        <v>21</v>
      </c>
      <c r="O17" s="31">
        <v>17.8</v>
      </c>
      <c r="P17" s="30">
        <v>0.19400000000000001</v>
      </c>
      <c r="Q17" s="31">
        <v>37.659999999999997</v>
      </c>
      <c r="R17" s="30">
        <v>146100</v>
      </c>
      <c r="S17" s="31">
        <v>4160</v>
      </c>
      <c r="T17" s="31">
        <v>1490</v>
      </c>
      <c r="U17" s="30">
        <v>231.4</v>
      </c>
      <c r="V17" s="31">
        <v>18800</v>
      </c>
      <c r="W17" s="30">
        <v>60.9</v>
      </c>
      <c r="X17" s="31">
        <v>9600</v>
      </c>
      <c r="Y17" s="30">
        <v>-85199.999999999985</v>
      </c>
      <c r="Z17" s="30">
        <v>1</v>
      </c>
      <c r="AA17" s="31">
        <v>1</v>
      </c>
      <c r="AB17" s="31"/>
    </row>
    <row r="18" spans="1:28" x14ac:dyDescent="0.45">
      <c r="A18" s="43" t="s">
        <v>457</v>
      </c>
      <c r="B18" s="71">
        <v>4.18</v>
      </c>
      <c r="C18" s="30">
        <v>55</v>
      </c>
      <c r="D18" s="31">
        <v>5</v>
      </c>
      <c r="E18" s="31">
        <v>8</v>
      </c>
      <c r="F18" s="31">
        <v>4</v>
      </c>
      <c r="G18" s="30">
        <v>532</v>
      </c>
      <c r="H18" s="30">
        <v>0</v>
      </c>
      <c r="I18" s="30"/>
      <c r="J18" s="30"/>
      <c r="K18" s="30">
        <v>0</v>
      </c>
      <c r="L18" s="30">
        <v>15.2</v>
      </c>
      <c r="M18" s="31">
        <v>38.9</v>
      </c>
      <c r="N18" s="31">
        <v>21.5</v>
      </c>
      <c r="O18" s="31">
        <v>19.3</v>
      </c>
      <c r="P18" s="30">
        <v>0.21299999999999999</v>
      </c>
      <c r="Q18" s="31">
        <v>51.05</v>
      </c>
      <c r="R18" s="30">
        <v>147100</v>
      </c>
      <c r="S18" s="31">
        <v>3700</v>
      </c>
      <c r="T18" s="31">
        <v>1660</v>
      </c>
      <c r="U18" s="30">
        <v>233.70000000000002</v>
      </c>
      <c r="V18" s="31">
        <v>21000</v>
      </c>
      <c r="W18" s="30">
        <v>60.599999999999994</v>
      </c>
      <c r="X18" s="31">
        <v>10700</v>
      </c>
      <c r="Y18" s="30">
        <v>-86600</v>
      </c>
      <c r="Z18" s="30">
        <v>1</v>
      </c>
      <c r="AA18" s="31">
        <v>3</v>
      </c>
      <c r="AB18" s="31"/>
    </row>
    <row r="19" spans="1:28" x14ac:dyDescent="0.45">
      <c r="A19" s="40" t="s">
        <v>458</v>
      </c>
      <c r="B19" s="73">
        <v>4.95</v>
      </c>
      <c r="C19" s="35">
        <v>55</v>
      </c>
      <c r="D19" s="36">
        <v>6</v>
      </c>
      <c r="E19" s="36">
        <v>8</v>
      </c>
      <c r="F19" s="36">
        <v>4</v>
      </c>
      <c r="G19" s="35">
        <v>631</v>
      </c>
      <c r="H19" s="35">
        <v>0</v>
      </c>
      <c r="I19" s="35"/>
      <c r="J19" s="35"/>
      <c r="K19" s="35">
        <v>0</v>
      </c>
      <c r="L19" s="35">
        <v>15.600000000000001</v>
      </c>
      <c r="M19" s="36">
        <v>38.9</v>
      </c>
      <c r="N19" s="36">
        <v>22.1</v>
      </c>
      <c r="O19" s="36">
        <v>19.399999999999999</v>
      </c>
      <c r="P19" s="35">
        <v>0.21299999999999999</v>
      </c>
      <c r="Q19" s="36">
        <v>43.04</v>
      </c>
      <c r="R19" s="35">
        <v>172900</v>
      </c>
      <c r="S19" s="36">
        <v>4390</v>
      </c>
      <c r="T19" s="36">
        <v>1660</v>
      </c>
      <c r="U19" s="35">
        <v>274.40000000000003</v>
      </c>
      <c r="V19" s="36">
        <v>20900</v>
      </c>
      <c r="W19" s="35">
        <v>71.3</v>
      </c>
      <c r="X19" s="36">
        <v>10600</v>
      </c>
      <c r="Y19" s="35">
        <v>-101600</v>
      </c>
      <c r="Z19" s="35">
        <v>1</v>
      </c>
      <c r="AA19" s="36">
        <v>1</v>
      </c>
      <c r="AB19" s="36"/>
    </row>
    <row r="20" spans="1:28" x14ac:dyDescent="0.45">
      <c r="A20" s="40" t="s">
        <v>459</v>
      </c>
      <c r="B20" s="73">
        <v>3.7</v>
      </c>
      <c r="C20" s="35">
        <v>60</v>
      </c>
      <c r="D20" s="36">
        <v>4</v>
      </c>
      <c r="E20" s="36">
        <v>8</v>
      </c>
      <c r="F20" s="36">
        <v>4</v>
      </c>
      <c r="G20" s="35">
        <v>471</v>
      </c>
      <c r="H20" s="35" t="s">
        <v>460</v>
      </c>
      <c r="I20" s="35">
        <v>34</v>
      </c>
      <c r="J20" s="35">
        <v>40.5</v>
      </c>
      <c r="K20" s="35">
        <v>415.00000000000006</v>
      </c>
      <c r="L20" s="35">
        <v>16</v>
      </c>
      <c r="M20" s="36">
        <v>42.400000000000006</v>
      </c>
      <c r="N20" s="36">
        <v>22.599999999999998</v>
      </c>
      <c r="O20" s="36">
        <v>21</v>
      </c>
      <c r="P20" s="35">
        <v>0.23300000000000001</v>
      </c>
      <c r="Q20" s="36">
        <v>63.07</v>
      </c>
      <c r="R20" s="35">
        <v>157800</v>
      </c>
      <c r="S20" s="36">
        <v>3580</v>
      </c>
      <c r="T20" s="36">
        <v>1830</v>
      </c>
      <c r="U20" s="35">
        <v>250.39999999999998</v>
      </c>
      <c r="V20" s="36">
        <v>23100</v>
      </c>
      <c r="W20" s="35">
        <v>65.099999999999994</v>
      </c>
      <c r="X20" s="36">
        <v>11800</v>
      </c>
      <c r="Y20" s="35">
        <v>-92600</v>
      </c>
      <c r="Z20" s="35">
        <v>3</v>
      </c>
      <c r="AA20" s="36">
        <v>3</v>
      </c>
      <c r="AB20" s="36"/>
    </row>
    <row r="21" spans="1:28" x14ac:dyDescent="0.45">
      <c r="A21" s="104" t="s">
        <v>461</v>
      </c>
      <c r="B21" s="71">
        <v>4.57</v>
      </c>
      <c r="C21" s="30">
        <v>60</v>
      </c>
      <c r="D21" s="31">
        <v>5</v>
      </c>
      <c r="E21" s="31">
        <v>8</v>
      </c>
      <c r="F21" s="31">
        <v>4</v>
      </c>
      <c r="G21" s="30">
        <v>582</v>
      </c>
      <c r="H21" s="30" t="s">
        <v>460</v>
      </c>
      <c r="I21" s="30">
        <v>35</v>
      </c>
      <c r="J21" s="30">
        <v>40.5</v>
      </c>
      <c r="K21" s="30">
        <v>512</v>
      </c>
      <c r="L21" s="30">
        <v>16.399999999999999</v>
      </c>
      <c r="M21" s="31">
        <v>42.400000000000006</v>
      </c>
      <c r="N21" s="31">
        <v>23.2</v>
      </c>
      <c r="O21" s="31">
        <v>21.099999999999998</v>
      </c>
      <c r="P21" s="30">
        <v>0.23300000000000001</v>
      </c>
      <c r="Q21" s="31">
        <v>51.04</v>
      </c>
      <c r="R21" s="30">
        <v>193700</v>
      </c>
      <c r="S21" s="31">
        <v>4450</v>
      </c>
      <c r="T21" s="31">
        <v>1820</v>
      </c>
      <c r="U21" s="30">
        <v>307.7</v>
      </c>
      <c r="V21" s="31">
        <v>23000</v>
      </c>
      <c r="W21" s="30">
        <v>79.7</v>
      </c>
      <c r="X21" s="31">
        <v>11700</v>
      </c>
      <c r="Y21" s="30">
        <v>-114000</v>
      </c>
      <c r="Z21" s="30">
        <v>2</v>
      </c>
      <c r="AA21" s="31">
        <v>3</v>
      </c>
      <c r="AB21" s="31"/>
    </row>
    <row r="22" spans="1:28" x14ac:dyDescent="0.45">
      <c r="A22" s="105" t="s">
        <v>462</v>
      </c>
      <c r="B22" s="73">
        <v>5.42</v>
      </c>
      <c r="C22" s="35">
        <v>60</v>
      </c>
      <c r="D22" s="36">
        <v>6</v>
      </c>
      <c r="E22" s="36">
        <v>8</v>
      </c>
      <c r="F22" s="36">
        <v>4</v>
      </c>
      <c r="G22" s="35">
        <v>691</v>
      </c>
      <c r="H22" s="35" t="s">
        <v>460</v>
      </c>
      <c r="I22" s="35">
        <v>36</v>
      </c>
      <c r="J22" s="35">
        <v>40.5</v>
      </c>
      <c r="K22" s="35">
        <v>607</v>
      </c>
      <c r="L22" s="35">
        <v>16.899999999999999</v>
      </c>
      <c r="M22" s="36">
        <v>42.400000000000006</v>
      </c>
      <c r="N22" s="36">
        <v>23.900000000000002</v>
      </c>
      <c r="O22" s="36">
        <v>21.099999999999998</v>
      </c>
      <c r="P22" s="35">
        <v>0.23300000000000001</v>
      </c>
      <c r="Q22" s="36">
        <v>42.99</v>
      </c>
      <c r="R22" s="35">
        <v>227900</v>
      </c>
      <c r="S22" s="36">
        <v>5290</v>
      </c>
      <c r="T22" s="36">
        <v>1820</v>
      </c>
      <c r="U22" s="35">
        <v>362</v>
      </c>
      <c r="V22" s="36">
        <v>22900</v>
      </c>
      <c r="W22" s="35">
        <v>93.800000000000011</v>
      </c>
      <c r="X22" s="36">
        <v>11700</v>
      </c>
      <c r="Y22" s="35">
        <v>-134100</v>
      </c>
      <c r="Z22" s="35">
        <v>1</v>
      </c>
      <c r="AA22" s="36">
        <v>2</v>
      </c>
      <c r="AB22" s="36"/>
    </row>
    <row r="23" spans="1:28" x14ac:dyDescent="0.45">
      <c r="A23" s="104" t="s">
        <v>463</v>
      </c>
      <c r="B23" s="71">
        <v>7.09</v>
      </c>
      <c r="C23" s="30">
        <v>60</v>
      </c>
      <c r="D23" s="31">
        <v>8</v>
      </c>
      <c r="E23" s="31">
        <v>8</v>
      </c>
      <c r="F23" s="31">
        <v>4</v>
      </c>
      <c r="G23" s="30">
        <v>902.99999999999989</v>
      </c>
      <c r="H23" s="30" t="s">
        <v>460</v>
      </c>
      <c r="I23" s="30">
        <v>38</v>
      </c>
      <c r="J23" s="30">
        <v>40.5</v>
      </c>
      <c r="K23" s="30">
        <v>791</v>
      </c>
      <c r="L23" s="30">
        <v>17.7</v>
      </c>
      <c r="M23" s="31">
        <v>42.400000000000006</v>
      </c>
      <c r="N23" s="31">
        <v>25</v>
      </c>
      <c r="O23" s="31">
        <v>21.400000000000002</v>
      </c>
      <c r="P23" s="30">
        <v>0.23300000000000001</v>
      </c>
      <c r="Q23" s="31">
        <v>32.89</v>
      </c>
      <c r="R23" s="30">
        <v>291500</v>
      </c>
      <c r="S23" s="31">
        <v>6890</v>
      </c>
      <c r="T23" s="31">
        <v>1800</v>
      </c>
      <c r="U23" s="30">
        <v>461.9</v>
      </c>
      <c r="V23" s="31">
        <v>22599.999999999996</v>
      </c>
      <c r="W23" s="30">
        <v>121.1</v>
      </c>
      <c r="X23" s="31">
        <v>11600</v>
      </c>
      <c r="Y23" s="30">
        <v>-170399.99999999997</v>
      </c>
      <c r="Z23" s="30">
        <v>1</v>
      </c>
      <c r="AA23" s="31">
        <v>1</v>
      </c>
      <c r="AB23" s="31"/>
    </row>
    <row r="24" spans="1:28" x14ac:dyDescent="0.45">
      <c r="A24" s="43" t="s">
        <v>464</v>
      </c>
      <c r="B24" s="71">
        <v>5.91</v>
      </c>
      <c r="C24" s="30">
        <v>65</v>
      </c>
      <c r="D24" s="31">
        <v>6</v>
      </c>
      <c r="E24" s="31">
        <v>9</v>
      </c>
      <c r="F24" s="31">
        <v>4.5</v>
      </c>
      <c r="G24" s="30">
        <v>753</v>
      </c>
      <c r="H24" s="30" t="s">
        <v>465</v>
      </c>
      <c r="I24" s="30">
        <v>36</v>
      </c>
      <c r="J24" s="30">
        <v>38</v>
      </c>
      <c r="K24" s="30">
        <v>645</v>
      </c>
      <c r="L24" s="30">
        <v>18</v>
      </c>
      <c r="M24" s="31">
        <v>46</v>
      </c>
      <c r="N24" s="31">
        <v>25.5</v>
      </c>
      <c r="O24" s="31">
        <v>22.799999999999997</v>
      </c>
      <c r="P24" s="30">
        <v>0.252</v>
      </c>
      <c r="Q24" s="31">
        <v>42.7</v>
      </c>
      <c r="R24" s="30">
        <v>291900</v>
      </c>
      <c r="S24" s="31">
        <v>6210</v>
      </c>
      <c r="T24" s="31">
        <v>1970</v>
      </c>
      <c r="U24" s="30">
        <v>463.6</v>
      </c>
      <c r="V24" s="31">
        <v>24800</v>
      </c>
      <c r="W24" s="30">
        <v>120.1</v>
      </c>
      <c r="X24" s="31">
        <v>12600</v>
      </c>
      <c r="Y24" s="30">
        <v>-171700.00000000003</v>
      </c>
      <c r="Z24" s="30">
        <v>1</v>
      </c>
      <c r="AA24" s="31">
        <v>3</v>
      </c>
      <c r="AB24" s="31"/>
    </row>
    <row r="25" spans="1:28" x14ac:dyDescent="0.45">
      <c r="A25" s="105" t="s">
        <v>466</v>
      </c>
      <c r="B25" s="73">
        <v>6.83</v>
      </c>
      <c r="C25" s="35">
        <v>65</v>
      </c>
      <c r="D25" s="36">
        <v>7</v>
      </c>
      <c r="E25" s="36">
        <v>9</v>
      </c>
      <c r="F25" s="36">
        <v>4.5</v>
      </c>
      <c r="G25" s="35">
        <v>869.99999999999989</v>
      </c>
      <c r="H25" s="35" t="s">
        <v>465</v>
      </c>
      <c r="I25" s="35">
        <v>37</v>
      </c>
      <c r="J25" s="35">
        <v>38</v>
      </c>
      <c r="K25" s="35">
        <v>744</v>
      </c>
      <c r="L25" s="35">
        <v>18.5</v>
      </c>
      <c r="M25" s="36">
        <v>46</v>
      </c>
      <c r="N25" s="36">
        <v>26.099999999999998</v>
      </c>
      <c r="O25" s="36">
        <v>22.9</v>
      </c>
      <c r="P25" s="35">
        <v>0.252</v>
      </c>
      <c r="Q25" s="36">
        <v>36.950000000000003</v>
      </c>
      <c r="R25" s="35">
        <v>334300</v>
      </c>
      <c r="S25" s="36">
        <v>7180</v>
      </c>
      <c r="T25" s="36">
        <v>1960</v>
      </c>
      <c r="U25" s="35">
        <v>530.79999999999995</v>
      </c>
      <c r="V25" s="36">
        <v>24700.000000000004</v>
      </c>
      <c r="W25" s="35">
        <v>137.79999999999998</v>
      </c>
      <c r="X25" s="36">
        <v>12600</v>
      </c>
      <c r="Y25" s="35">
        <v>-196500</v>
      </c>
      <c r="Z25" s="35">
        <v>1</v>
      </c>
      <c r="AA25" s="36">
        <v>1</v>
      </c>
      <c r="AB25" s="36"/>
    </row>
    <row r="26" spans="1:28" x14ac:dyDescent="0.45">
      <c r="A26" s="44" t="s">
        <v>467</v>
      </c>
      <c r="B26" s="114">
        <v>7.73</v>
      </c>
      <c r="C26" s="41">
        <v>65</v>
      </c>
      <c r="D26" s="42">
        <v>8</v>
      </c>
      <c r="E26" s="42">
        <v>9</v>
      </c>
      <c r="F26" s="42">
        <v>4.5</v>
      </c>
      <c r="G26" s="41">
        <v>985</v>
      </c>
      <c r="H26" s="41" t="s">
        <v>465</v>
      </c>
      <c r="I26" s="41">
        <v>38</v>
      </c>
      <c r="J26" s="41">
        <v>38</v>
      </c>
      <c r="K26" s="41">
        <v>841</v>
      </c>
      <c r="L26" s="41">
        <v>18.899999999999999</v>
      </c>
      <c r="M26" s="42">
        <v>46</v>
      </c>
      <c r="N26" s="42">
        <v>26.7</v>
      </c>
      <c r="O26" s="42">
        <v>23.1</v>
      </c>
      <c r="P26" s="41">
        <v>0.252</v>
      </c>
      <c r="Q26" s="42">
        <v>32.64</v>
      </c>
      <c r="R26" s="41">
        <v>374900</v>
      </c>
      <c r="S26" s="42">
        <v>8130.0000000000009</v>
      </c>
      <c r="T26" s="42">
        <v>1950</v>
      </c>
      <c r="U26" s="41">
        <v>594.6</v>
      </c>
      <c r="V26" s="42">
        <v>24600</v>
      </c>
      <c r="W26" s="41">
        <v>155.19999999999999</v>
      </c>
      <c r="X26" s="42">
        <v>12600</v>
      </c>
      <c r="Y26" s="41">
        <v>-219700</v>
      </c>
      <c r="Z26" s="41">
        <v>1</v>
      </c>
      <c r="AA26" s="42">
        <v>1</v>
      </c>
      <c r="AB26" s="31"/>
    </row>
    <row r="27" spans="1:28" x14ac:dyDescent="0.45">
      <c r="A27" s="118" t="s">
        <v>468</v>
      </c>
      <c r="B27" s="69">
        <v>6.38</v>
      </c>
      <c r="C27" s="26">
        <v>70</v>
      </c>
      <c r="D27" s="27">
        <v>6</v>
      </c>
      <c r="E27" s="27">
        <v>9</v>
      </c>
      <c r="F27" s="27">
        <v>4.5</v>
      </c>
      <c r="G27" s="26">
        <v>813.00000000000011</v>
      </c>
      <c r="H27" s="26" t="s">
        <v>465</v>
      </c>
      <c r="I27" s="26">
        <v>36</v>
      </c>
      <c r="J27" s="26">
        <v>43</v>
      </c>
      <c r="K27" s="26">
        <v>706</v>
      </c>
      <c r="L27" s="26">
        <v>19.3</v>
      </c>
      <c r="M27" s="27">
        <v>49.5</v>
      </c>
      <c r="N27" s="27">
        <v>27.3</v>
      </c>
      <c r="O27" s="27">
        <v>24.6</v>
      </c>
      <c r="P27" s="26">
        <v>0.27200000000000002</v>
      </c>
      <c r="Q27" s="27">
        <v>42.68</v>
      </c>
      <c r="R27" s="26">
        <v>368800</v>
      </c>
      <c r="S27" s="27">
        <v>7270</v>
      </c>
      <c r="T27" s="27">
        <v>2130</v>
      </c>
      <c r="U27" s="26">
        <v>586</v>
      </c>
      <c r="V27" s="27">
        <v>26900</v>
      </c>
      <c r="W27" s="26">
        <v>151.6</v>
      </c>
      <c r="X27" s="27">
        <v>13700.000000000002</v>
      </c>
      <c r="Y27" s="26">
        <v>-217200</v>
      </c>
      <c r="Z27" s="26">
        <v>2</v>
      </c>
      <c r="AA27" s="27">
        <v>3</v>
      </c>
      <c r="AB27" s="27"/>
    </row>
    <row r="28" spans="1:28" x14ac:dyDescent="0.45">
      <c r="A28" s="104" t="s">
        <v>469</v>
      </c>
      <c r="B28" s="71">
        <v>7.38</v>
      </c>
      <c r="C28" s="30">
        <v>70</v>
      </c>
      <c r="D28" s="31">
        <v>7</v>
      </c>
      <c r="E28" s="31">
        <v>9</v>
      </c>
      <c r="F28" s="31">
        <v>4.5</v>
      </c>
      <c r="G28" s="30">
        <v>940</v>
      </c>
      <c r="H28" s="30" t="s">
        <v>465</v>
      </c>
      <c r="I28" s="30">
        <v>37</v>
      </c>
      <c r="J28" s="30">
        <v>43</v>
      </c>
      <c r="K28" s="30">
        <v>814</v>
      </c>
      <c r="L28" s="30">
        <v>19.7</v>
      </c>
      <c r="M28" s="31">
        <v>49.5</v>
      </c>
      <c r="N28" s="31">
        <v>27.9</v>
      </c>
      <c r="O28" s="31">
        <v>24.700000000000003</v>
      </c>
      <c r="P28" s="30">
        <v>0.27200000000000002</v>
      </c>
      <c r="Q28" s="31">
        <v>36.909999999999997</v>
      </c>
      <c r="R28" s="30">
        <v>423000</v>
      </c>
      <c r="S28" s="31">
        <v>8410</v>
      </c>
      <c r="T28" s="31">
        <v>2120</v>
      </c>
      <c r="U28" s="30">
        <v>671.9</v>
      </c>
      <c r="V28" s="31">
        <v>26700</v>
      </c>
      <c r="W28" s="30">
        <v>174.1</v>
      </c>
      <c r="X28" s="31">
        <v>13600.000000000002</v>
      </c>
      <c r="Y28" s="30">
        <v>-248900</v>
      </c>
      <c r="Z28" s="30">
        <v>1</v>
      </c>
      <c r="AA28" s="31">
        <v>2</v>
      </c>
      <c r="AB28" s="31"/>
    </row>
    <row r="29" spans="1:28" x14ac:dyDescent="0.45">
      <c r="A29" s="40" t="s">
        <v>470</v>
      </c>
      <c r="B29" s="73">
        <v>8.3699999999999992</v>
      </c>
      <c r="C29" s="35">
        <v>70</v>
      </c>
      <c r="D29" s="36">
        <v>8</v>
      </c>
      <c r="E29" s="36">
        <v>10</v>
      </c>
      <c r="F29" s="36">
        <v>5</v>
      </c>
      <c r="G29" s="35">
        <v>1070</v>
      </c>
      <c r="H29" s="35" t="s">
        <v>465</v>
      </c>
      <c r="I29" s="35">
        <v>38</v>
      </c>
      <c r="J29" s="35">
        <v>43</v>
      </c>
      <c r="K29" s="35">
        <v>923</v>
      </c>
      <c r="L29" s="35">
        <v>20.099999999999998</v>
      </c>
      <c r="M29" s="36">
        <v>49.5</v>
      </c>
      <c r="N29" s="36">
        <v>28.4</v>
      </c>
      <c r="O29" s="36">
        <v>24.700000000000003</v>
      </c>
      <c r="P29" s="35">
        <v>0.27100000000000002</v>
      </c>
      <c r="Q29" s="36">
        <v>32.409999999999997</v>
      </c>
      <c r="R29" s="35">
        <v>472700.00000000006</v>
      </c>
      <c r="S29" s="36">
        <v>9460</v>
      </c>
      <c r="T29" s="36">
        <v>2100</v>
      </c>
      <c r="U29" s="35">
        <v>750.1</v>
      </c>
      <c r="V29" s="36">
        <v>26500</v>
      </c>
      <c r="W29" s="35">
        <v>195.2</v>
      </c>
      <c r="X29" s="36">
        <v>13500</v>
      </c>
      <c r="Y29" s="35">
        <v>-277500</v>
      </c>
      <c r="Z29" s="35">
        <v>1</v>
      </c>
      <c r="AA29" s="36">
        <v>1</v>
      </c>
      <c r="AB29" s="36"/>
    </row>
    <row r="30" spans="1:28" x14ac:dyDescent="0.45">
      <c r="A30" s="43" t="s">
        <v>471</v>
      </c>
      <c r="B30" s="71">
        <v>9.32</v>
      </c>
      <c r="C30" s="30">
        <v>70</v>
      </c>
      <c r="D30" s="31">
        <v>9</v>
      </c>
      <c r="E30" s="31">
        <v>9</v>
      </c>
      <c r="F30" s="31">
        <v>4.5</v>
      </c>
      <c r="G30" s="30">
        <v>1190</v>
      </c>
      <c r="H30" s="30" t="s">
        <v>465</v>
      </c>
      <c r="I30" s="30">
        <v>39</v>
      </c>
      <c r="J30" s="30">
        <v>43</v>
      </c>
      <c r="K30" s="30">
        <v>1030</v>
      </c>
      <c r="L30" s="30">
        <v>20.5</v>
      </c>
      <c r="M30" s="31">
        <v>49.5</v>
      </c>
      <c r="N30" s="31">
        <v>29</v>
      </c>
      <c r="O30" s="31">
        <v>25</v>
      </c>
      <c r="P30" s="30">
        <v>0.27200000000000002</v>
      </c>
      <c r="Q30" s="31">
        <v>29.2</v>
      </c>
      <c r="R30" s="30">
        <v>524700</v>
      </c>
      <c r="S30" s="31">
        <v>10600</v>
      </c>
      <c r="T30" s="31">
        <v>2100</v>
      </c>
      <c r="U30" s="30">
        <v>831.80000000000007</v>
      </c>
      <c r="V30" s="31">
        <v>26500</v>
      </c>
      <c r="W30" s="30">
        <v>217.60000000000002</v>
      </c>
      <c r="X30" s="31">
        <v>13500</v>
      </c>
      <c r="Y30" s="30">
        <v>-307100</v>
      </c>
      <c r="Z30" s="30">
        <v>1</v>
      </c>
      <c r="AA30" s="31">
        <v>1</v>
      </c>
      <c r="AB30" s="31"/>
    </row>
    <row r="31" spans="1:28" x14ac:dyDescent="0.45">
      <c r="A31" s="43" t="s">
        <v>472</v>
      </c>
      <c r="B31" s="71">
        <v>4.6500000000000004</v>
      </c>
      <c r="C31" s="30">
        <v>75</v>
      </c>
      <c r="D31" s="31">
        <v>4</v>
      </c>
      <c r="E31" s="31">
        <v>9</v>
      </c>
      <c r="F31" s="31">
        <v>4.5</v>
      </c>
      <c r="G31" s="30">
        <v>593</v>
      </c>
      <c r="H31" s="30" t="s">
        <v>465</v>
      </c>
      <c r="I31" s="30">
        <v>34</v>
      </c>
      <c r="J31" s="30">
        <v>48</v>
      </c>
      <c r="K31" s="30">
        <v>521</v>
      </c>
      <c r="L31" s="30">
        <v>19.600000000000001</v>
      </c>
      <c r="M31" s="31">
        <v>53</v>
      </c>
      <c r="N31" s="31">
        <v>27.599999999999998</v>
      </c>
      <c r="O31" s="31">
        <v>26.299999999999997</v>
      </c>
      <c r="P31" s="30">
        <v>0.29199999999999998</v>
      </c>
      <c r="Q31" s="31">
        <v>62.82</v>
      </c>
      <c r="R31" s="30">
        <v>314300</v>
      </c>
      <c r="S31" s="31">
        <v>5670</v>
      </c>
      <c r="T31" s="31">
        <v>2300</v>
      </c>
      <c r="U31" s="30">
        <v>498.5</v>
      </c>
      <c r="V31" s="31">
        <v>29000</v>
      </c>
      <c r="W31" s="30">
        <v>130.1</v>
      </c>
      <c r="X31" s="31">
        <v>14800</v>
      </c>
      <c r="Y31" s="30">
        <v>-184200.00000000003</v>
      </c>
      <c r="Z31" s="30">
        <v>4</v>
      </c>
      <c r="AA31" s="31">
        <v>4</v>
      </c>
      <c r="AB31" s="31"/>
    </row>
    <row r="32" spans="1:28" x14ac:dyDescent="0.45">
      <c r="A32" s="40" t="s">
        <v>473</v>
      </c>
      <c r="B32" s="73">
        <v>5.76</v>
      </c>
      <c r="C32" s="35">
        <v>75</v>
      </c>
      <c r="D32" s="36">
        <v>5</v>
      </c>
      <c r="E32" s="36">
        <v>9</v>
      </c>
      <c r="F32" s="36">
        <v>4.5</v>
      </c>
      <c r="G32" s="35">
        <v>734</v>
      </c>
      <c r="H32" s="35" t="s">
        <v>465</v>
      </c>
      <c r="I32" s="35">
        <v>35</v>
      </c>
      <c r="J32" s="35">
        <v>48</v>
      </c>
      <c r="K32" s="35">
        <v>644</v>
      </c>
      <c r="L32" s="35">
        <v>20.099999999999998</v>
      </c>
      <c r="M32" s="36">
        <v>53</v>
      </c>
      <c r="N32" s="36">
        <v>28.4</v>
      </c>
      <c r="O32" s="36">
        <v>26.299999999999997</v>
      </c>
      <c r="P32" s="35">
        <v>0.29199999999999998</v>
      </c>
      <c r="Q32" s="36">
        <v>50.75</v>
      </c>
      <c r="R32" s="35">
        <v>387700.00000000006</v>
      </c>
      <c r="S32" s="36">
        <v>7060</v>
      </c>
      <c r="T32" s="36">
        <v>2300</v>
      </c>
      <c r="U32" s="35">
        <v>615.90000000000009</v>
      </c>
      <c r="V32" s="36">
        <v>29000</v>
      </c>
      <c r="W32" s="35">
        <v>159.60000000000002</v>
      </c>
      <c r="X32" s="36">
        <v>14700</v>
      </c>
      <c r="Y32" s="35">
        <v>-228200</v>
      </c>
      <c r="Z32" s="35">
        <v>3</v>
      </c>
      <c r="AA32" s="36">
        <v>3</v>
      </c>
      <c r="AB32" s="36"/>
    </row>
    <row r="33" spans="1:28" x14ac:dyDescent="0.45">
      <c r="A33" s="104" t="s">
        <v>474</v>
      </c>
      <c r="B33" s="71">
        <v>6.85</v>
      </c>
      <c r="C33" s="30">
        <v>75</v>
      </c>
      <c r="D33" s="31">
        <v>6</v>
      </c>
      <c r="E33" s="31">
        <v>9</v>
      </c>
      <c r="F33" s="31">
        <v>4.5</v>
      </c>
      <c r="G33" s="30">
        <v>873</v>
      </c>
      <c r="H33" s="30" t="s">
        <v>465</v>
      </c>
      <c r="I33" s="30">
        <v>36</v>
      </c>
      <c r="J33" s="30">
        <v>48</v>
      </c>
      <c r="K33" s="30">
        <v>765</v>
      </c>
      <c r="L33" s="30">
        <v>20.5</v>
      </c>
      <c r="M33" s="31">
        <v>53</v>
      </c>
      <c r="N33" s="31">
        <v>29</v>
      </c>
      <c r="O33" s="31">
        <v>26.400000000000002</v>
      </c>
      <c r="P33" s="30">
        <v>0.29199999999999998</v>
      </c>
      <c r="Q33" s="31">
        <v>42.66</v>
      </c>
      <c r="R33" s="30">
        <v>458300</v>
      </c>
      <c r="S33" s="31">
        <v>8410</v>
      </c>
      <c r="T33" s="31">
        <v>2290</v>
      </c>
      <c r="U33" s="30">
        <v>728.40000000000009</v>
      </c>
      <c r="V33" s="31">
        <v>28900</v>
      </c>
      <c r="W33" s="30">
        <v>188.2</v>
      </c>
      <c r="X33" s="31">
        <v>14700</v>
      </c>
      <c r="Y33" s="30">
        <v>-270100</v>
      </c>
      <c r="Z33" s="30">
        <v>2</v>
      </c>
      <c r="AA33" s="31">
        <v>3</v>
      </c>
      <c r="AB33" s="31"/>
    </row>
    <row r="34" spans="1:28" x14ac:dyDescent="0.45">
      <c r="A34" s="40" t="s">
        <v>475</v>
      </c>
      <c r="B34" s="73">
        <v>7.93</v>
      </c>
      <c r="C34" s="35">
        <v>75</v>
      </c>
      <c r="D34" s="36">
        <v>7</v>
      </c>
      <c r="E34" s="36">
        <v>9</v>
      </c>
      <c r="F34" s="36">
        <v>4.5</v>
      </c>
      <c r="G34" s="35">
        <v>1010</v>
      </c>
      <c r="H34" s="35" t="s">
        <v>465</v>
      </c>
      <c r="I34" s="35">
        <v>37</v>
      </c>
      <c r="J34" s="35">
        <v>48</v>
      </c>
      <c r="K34" s="35">
        <v>884</v>
      </c>
      <c r="L34" s="35">
        <v>21</v>
      </c>
      <c r="M34" s="36">
        <v>53</v>
      </c>
      <c r="N34" s="36">
        <v>29.6</v>
      </c>
      <c r="O34" s="36">
        <v>26.5</v>
      </c>
      <c r="P34" s="35">
        <v>0.29199999999999998</v>
      </c>
      <c r="Q34" s="36">
        <v>36.880000000000003</v>
      </c>
      <c r="R34" s="35">
        <v>526100</v>
      </c>
      <c r="S34" s="36">
        <v>9740</v>
      </c>
      <c r="T34" s="36">
        <v>2280</v>
      </c>
      <c r="U34" s="35">
        <v>836</v>
      </c>
      <c r="V34" s="36">
        <v>28800</v>
      </c>
      <c r="W34" s="35">
        <v>216.20000000000002</v>
      </c>
      <c r="X34" s="36">
        <v>14600</v>
      </c>
      <c r="Y34" s="35">
        <v>-309900</v>
      </c>
      <c r="Z34" s="35">
        <v>1</v>
      </c>
      <c r="AA34" s="36">
        <v>3</v>
      </c>
      <c r="AB34" s="36"/>
    </row>
    <row r="35" spans="1:28" x14ac:dyDescent="0.45">
      <c r="A35" s="104" t="s">
        <v>476</v>
      </c>
      <c r="B35" s="71">
        <v>8.99</v>
      </c>
      <c r="C35" s="30">
        <v>75</v>
      </c>
      <c r="D35" s="31">
        <v>8</v>
      </c>
      <c r="E35" s="31">
        <v>9</v>
      </c>
      <c r="F35" s="31">
        <v>4.5</v>
      </c>
      <c r="G35" s="30">
        <v>1140</v>
      </c>
      <c r="H35" s="30" t="s">
        <v>465</v>
      </c>
      <c r="I35" s="30">
        <v>38</v>
      </c>
      <c r="J35" s="30">
        <v>48</v>
      </c>
      <c r="K35" s="30">
        <v>1000</v>
      </c>
      <c r="L35" s="30">
        <v>21.400000000000002</v>
      </c>
      <c r="M35" s="31">
        <v>53</v>
      </c>
      <c r="N35" s="31">
        <v>30.2</v>
      </c>
      <c r="O35" s="31">
        <v>26.6</v>
      </c>
      <c r="P35" s="30">
        <v>0.29199999999999998</v>
      </c>
      <c r="Q35" s="31">
        <v>32.53</v>
      </c>
      <c r="R35" s="30">
        <v>591300</v>
      </c>
      <c r="S35" s="31">
        <v>11030</v>
      </c>
      <c r="T35" s="31">
        <v>2270</v>
      </c>
      <c r="U35" s="30">
        <v>939.09999999999991</v>
      </c>
      <c r="V35" s="31">
        <v>28600</v>
      </c>
      <c r="W35" s="30">
        <v>243.5</v>
      </c>
      <c r="X35" s="31">
        <v>14600</v>
      </c>
      <c r="Y35" s="30">
        <v>-347800</v>
      </c>
      <c r="Z35" s="30">
        <v>1</v>
      </c>
      <c r="AA35" s="31">
        <v>1</v>
      </c>
      <c r="AB35" s="31"/>
    </row>
    <row r="36" spans="1:28" x14ac:dyDescent="0.45">
      <c r="A36" s="40" t="s">
        <v>477</v>
      </c>
      <c r="B36" s="73">
        <v>11.1</v>
      </c>
      <c r="C36" s="35">
        <v>75</v>
      </c>
      <c r="D36" s="36">
        <v>10</v>
      </c>
      <c r="E36" s="36">
        <v>9</v>
      </c>
      <c r="F36" s="36">
        <v>4.5</v>
      </c>
      <c r="G36" s="35">
        <v>1410</v>
      </c>
      <c r="H36" s="35" t="s">
        <v>465</v>
      </c>
      <c r="I36" s="35">
        <v>40</v>
      </c>
      <c r="J36" s="35">
        <v>48</v>
      </c>
      <c r="K36" s="35">
        <v>1230</v>
      </c>
      <c r="L36" s="35">
        <v>22.200000000000003</v>
      </c>
      <c r="M36" s="36">
        <v>53</v>
      </c>
      <c r="N36" s="36">
        <v>31.299999999999997</v>
      </c>
      <c r="O36" s="36">
        <v>26.9</v>
      </c>
      <c r="P36" s="35">
        <v>0.29199999999999998</v>
      </c>
      <c r="Q36" s="36">
        <v>26.43</v>
      </c>
      <c r="R36" s="35">
        <v>714300.00000000012</v>
      </c>
      <c r="S36" s="36">
        <v>13520</v>
      </c>
      <c r="T36" s="36">
        <v>2250</v>
      </c>
      <c r="U36" s="35">
        <v>1132</v>
      </c>
      <c r="V36" s="36">
        <v>28300</v>
      </c>
      <c r="W36" s="35">
        <v>296.8</v>
      </c>
      <c r="X36" s="36">
        <v>14500</v>
      </c>
      <c r="Y36" s="35">
        <v>-417500</v>
      </c>
      <c r="Z36" s="35">
        <v>1</v>
      </c>
      <c r="AA36" s="36">
        <v>1</v>
      </c>
      <c r="AB36" s="36"/>
    </row>
    <row r="37" spans="1:28" x14ac:dyDescent="0.45">
      <c r="A37" s="40" t="s">
        <v>478</v>
      </c>
      <c r="B37" s="73">
        <v>6.17</v>
      </c>
      <c r="C37" s="35">
        <v>80</v>
      </c>
      <c r="D37" s="36">
        <v>5</v>
      </c>
      <c r="E37" s="36">
        <v>10</v>
      </c>
      <c r="F37" s="36">
        <v>5</v>
      </c>
      <c r="G37" s="35">
        <v>786</v>
      </c>
      <c r="H37" s="35" t="s">
        <v>465</v>
      </c>
      <c r="I37" s="35">
        <v>35</v>
      </c>
      <c r="J37" s="35">
        <v>53</v>
      </c>
      <c r="K37" s="35">
        <v>696</v>
      </c>
      <c r="L37" s="35">
        <v>21.200000000000003</v>
      </c>
      <c r="M37" s="36">
        <v>56.6</v>
      </c>
      <c r="N37" s="36">
        <v>30</v>
      </c>
      <c r="O37" s="36">
        <v>28.1</v>
      </c>
      <c r="P37" s="35">
        <v>0.311</v>
      </c>
      <c r="Q37" s="36">
        <v>50.49</v>
      </c>
      <c r="R37" s="35">
        <v>471400</v>
      </c>
      <c r="S37" s="36">
        <v>8020</v>
      </c>
      <c r="T37" s="36">
        <v>2450</v>
      </c>
      <c r="U37" s="35">
        <v>748.3</v>
      </c>
      <c r="V37" s="36">
        <v>30900</v>
      </c>
      <c r="W37" s="35">
        <v>194.5</v>
      </c>
      <c r="X37" s="36">
        <v>15700</v>
      </c>
      <c r="Y37" s="35">
        <v>-276900.00000000006</v>
      </c>
      <c r="Z37" s="35">
        <v>3</v>
      </c>
      <c r="AA37" s="36">
        <v>4</v>
      </c>
      <c r="AB37" s="36"/>
    </row>
    <row r="38" spans="1:28" x14ac:dyDescent="0.45">
      <c r="A38" s="43" t="s">
        <v>479</v>
      </c>
      <c r="B38" s="71">
        <v>7.34</v>
      </c>
      <c r="C38" s="30">
        <v>80</v>
      </c>
      <c r="D38" s="31">
        <v>6</v>
      </c>
      <c r="E38" s="31">
        <v>10</v>
      </c>
      <c r="F38" s="31">
        <v>5</v>
      </c>
      <c r="G38" s="30">
        <v>935</v>
      </c>
      <c r="H38" s="30" t="s">
        <v>465</v>
      </c>
      <c r="I38" s="30">
        <v>36</v>
      </c>
      <c r="J38" s="30">
        <v>53</v>
      </c>
      <c r="K38" s="30">
        <v>827</v>
      </c>
      <c r="L38" s="30">
        <v>21.7</v>
      </c>
      <c r="M38" s="31">
        <v>56.6</v>
      </c>
      <c r="N38" s="31">
        <v>30.7</v>
      </c>
      <c r="O38" s="31">
        <v>28.1</v>
      </c>
      <c r="P38" s="30">
        <v>0.311</v>
      </c>
      <c r="Q38" s="31">
        <v>42.44</v>
      </c>
      <c r="R38" s="30">
        <v>558200</v>
      </c>
      <c r="S38" s="31">
        <v>9570</v>
      </c>
      <c r="T38" s="31">
        <v>2440</v>
      </c>
      <c r="U38" s="30">
        <v>886.9</v>
      </c>
      <c r="V38" s="31">
        <v>30800</v>
      </c>
      <c r="W38" s="30">
        <v>229.60000000000002</v>
      </c>
      <c r="X38" s="31">
        <v>15700</v>
      </c>
      <c r="Y38" s="30">
        <v>-328700</v>
      </c>
      <c r="Z38" s="30">
        <v>3</v>
      </c>
      <c r="AA38" s="31">
        <v>3</v>
      </c>
      <c r="AB38" s="31"/>
    </row>
    <row r="39" spans="1:28" x14ac:dyDescent="0.45">
      <c r="A39" s="40" t="s">
        <v>480</v>
      </c>
      <c r="B39" s="73">
        <v>8.49</v>
      </c>
      <c r="C39" s="35">
        <v>80</v>
      </c>
      <c r="D39" s="36">
        <v>7</v>
      </c>
      <c r="E39" s="36">
        <v>10</v>
      </c>
      <c r="F39" s="36">
        <v>5</v>
      </c>
      <c r="G39" s="35">
        <v>1080</v>
      </c>
      <c r="H39" s="35" t="s">
        <v>465</v>
      </c>
      <c r="I39" s="35">
        <v>37</v>
      </c>
      <c r="J39" s="35">
        <v>53</v>
      </c>
      <c r="K39" s="35">
        <v>956</v>
      </c>
      <c r="L39" s="35">
        <v>22.1</v>
      </c>
      <c r="M39" s="36">
        <v>56.6</v>
      </c>
      <c r="N39" s="36">
        <v>31.299999999999997</v>
      </c>
      <c r="O39" s="36">
        <v>28.2</v>
      </c>
      <c r="P39" s="35">
        <v>0.311</v>
      </c>
      <c r="Q39" s="36">
        <v>36.67</v>
      </c>
      <c r="R39" s="35">
        <v>641900</v>
      </c>
      <c r="S39" s="36">
        <v>11090</v>
      </c>
      <c r="T39" s="36">
        <v>2440</v>
      </c>
      <c r="U39" s="35">
        <v>1020</v>
      </c>
      <c r="V39" s="36">
        <v>30700</v>
      </c>
      <c r="W39" s="35">
        <v>263.8</v>
      </c>
      <c r="X39" s="36">
        <v>15600</v>
      </c>
      <c r="Y39" s="35">
        <v>-378100</v>
      </c>
      <c r="Z39" s="35">
        <v>1</v>
      </c>
      <c r="AA39" s="36">
        <v>3</v>
      </c>
      <c r="AB39" s="36"/>
    </row>
    <row r="40" spans="1:28" x14ac:dyDescent="0.45">
      <c r="A40" s="104" t="s">
        <v>481</v>
      </c>
      <c r="B40" s="71">
        <v>9.6300000000000008</v>
      </c>
      <c r="C40" s="30">
        <v>80</v>
      </c>
      <c r="D40" s="31">
        <v>8</v>
      </c>
      <c r="E40" s="31">
        <v>10</v>
      </c>
      <c r="F40" s="31">
        <v>5</v>
      </c>
      <c r="G40" s="30">
        <v>1230</v>
      </c>
      <c r="H40" s="30" t="s">
        <v>465</v>
      </c>
      <c r="I40" s="30">
        <v>38</v>
      </c>
      <c r="J40" s="30">
        <v>53</v>
      </c>
      <c r="K40" s="30">
        <v>1080</v>
      </c>
      <c r="L40" s="30">
        <v>22.599999999999998</v>
      </c>
      <c r="M40" s="31">
        <v>56.6</v>
      </c>
      <c r="N40" s="31">
        <v>31.9</v>
      </c>
      <c r="O40" s="31">
        <v>28.3</v>
      </c>
      <c r="P40" s="30">
        <v>0.311</v>
      </c>
      <c r="Q40" s="31">
        <v>32.340000000000003</v>
      </c>
      <c r="R40" s="30">
        <v>722500</v>
      </c>
      <c r="S40" s="31">
        <v>12580</v>
      </c>
      <c r="T40" s="31">
        <v>2430</v>
      </c>
      <c r="U40" s="30">
        <v>1148</v>
      </c>
      <c r="V40" s="31">
        <v>30600</v>
      </c>
      <c r="W40" s="30">
        <v>297.2</v>
      </c>
      <c r="X40" s="31">
        <v>15600</v>
      </c>
      <c r="Y40" s="30">
        <v>-425200.00000000006</v>
      </c>
      <c r="Z40" s="30">
        <v>1</v>
      </c>
      <c r="AA40" s="31">
        <v>2</v>
      </c>
      <c r="AB40" s="31"/>
    </row>
    <row r="41" spans="1:28" x14ac:dyDescent="0.45">
      <c r="A41" s="105" t="s">
        <v>482</v>
      </c>
      <c r="B41" s="73">
        <v>11.9</v>
      </c>
      <c r="C41" s="35">
        <v>80</v>
      </c>
      <c r="D41" s="36">
        <v>10</v>
      </c>
      <c r="E41" s="36">
        <v>10</v>
      </c>
      <c r="F41" s="36">
        <v>5</v>
      </c>
      <c r="G41" s="35">
        <v>1510</v>
      </c>
      <c r="H41" s="35" t="s">
        <v>465</v>
      </c>
      <c r="I41" s="35">
        <v>40</v>
      </c>
      <c r="J41" s="35">
        <v>53</v>
      </c>
      <c r="K41" s="35">
        <v>1330</v>
      </c>
      <c r="L41" s="35">
        <v>23.4</v>
      </c>
      <c r="M41" s="36">
        <v>56.6</v>
      </c>
      <c r="N41" s="36">
        <v>33</v>
      </c>
      <c r="O41" s="36">
        <v>28.5</v>
      </c>
      <c r="P41" s="35">
        <v>0.311</v>
      </c>
      <c r="Q41" s="36">
        <v>26.26</v>
      </c>
      <c r="R41" s="35">
        <v>875000</v>
      </c>
      <c r="S41" s="36">
        <v>15450</v>
      </c>
      <c r="T41" s="36">
        <v>2410</v>
      </c>
      <c r="U41" s="35">
        <v>1388</v>
      </c>
      <c r="V41" s="36">
        <v>30299.999999999996</v>
      </c>
      <c r="W41" s="35">
        <v>362.40000000000003</v>
      </c>
      <c r="X41" s="36">
        <v>15500</v>
      </c>
      <c r="Y41" s="35">
        <v>-512700.00000000006</v>
      </c>
      <c r="Z41" s="35">
        <v>1</v>
      </c>
      <c r="AA41" s="36">
        <v>1</v>
      </c>
      <c r="AB41" s="36"/>
    </row>
    <row r="42" spans="1:28" x14ac:dyDescent="0.45">
      <c r="A42" s="40" t="s">
        <v>483</v>
      </c>
      <c r="B42" s="73">
        <v>8.2799999999999994</v>
      </c>
      <c r="C42" s="35">
        <v>90</v>
      </c>
      <c r="D42" s="36">
        <v>6</v>
      </c>
      <c r="E42" s="36">
        <v>10</v>
      </c>
      <c r="F42" s="36">
        <v>5</v>
      </c>
      <c r="G42" s="35">
        <v>1050</v>
      </c>
      <c r="H42" s="35" t="s">
        <v>484</v>
      </c>
      <c r="I42" s="35">
        <v>46</v>
      </c>
      <c r="J42" s="35">
        <v>51</v>
      </c>
      <c r="K42" s="35">
        <v>899</v>
      </c>
      <c r="L42" s="35">
        <v>24.2</v>
      </c>
      <c r="M42" s="36">
        <v>63.6</v>
      </c>
      <c r="N42" s="36">
        <v>34.200000000000003</v>
      </c>
      <c r="O42" s="36">
        <v>31.6</v>
      </c>
      <c r="P42" s="35">
        <v>0.35099999999999998</v>
      </c>
      <c r="Q42" s="36">
        <v>42.44</v>
      </c>
      <c r="R42" s="35">
        <v>807200</v>
      </c>
      <c r="S42" s="36">
        <v>12260</v>
      </c>
      <c r="T42" s="36">
        <v>2770</v>
      </c>
      <c r="U42" s="35">
        <v>1283</v>
      </c>
      <c r="V42" s="36">
        <v>34900</v>
      </c>
      <c r="W42" s="35">
        <v>331.59999999999997</v>
      </c>
      <c r="X42" s="36">
        <v>17700</v>
      </c>
      <c r="Y42" s="35">
        <v>-475700</v>
      </c>
      <c r="Z42" s="35">
        <v>3</v>
      </c>
      <c r="AA42" s="36">
        <v>4</v>
      </c>
      <c r="AB42" s="36"/>
    </row>
    <row r="43" spans="1:28" x14ac:dyDescent="0.45">
      <c r="A43" s="104" t="s">
        <v>485</v>
      </c>
      <c r="B43" s="71">
        <v>9.61</v>
      </c>
      <c r="C43" s="30">
        <v>90</v>
      </c>
      <c r="D43" s="31">
        <v>7</v>
      </c>
      <c r="E43" s="31">
        <v>11</v>
      </c>
      <c r="F43" s="31">
        <v>5.5</v>
      </c>
      <c r="G43" s="30">
        <v>1220</v>
      </c>
      <c r="H43" s="30" t="s">
        <v>484</v>
      </c>
      <c r="I43" s="30">
        <v>47</v>
      </c>
      <c r="J43" s="30">
        <v>51</v>
      </c>
      <c r="K43" s="30">
        <v>1040</v>
      </c>
      <c r="L43" s="30">
        <v>24.5</v>
      </c>
      <c r="M43" s="31">
        <v>63.6</v>
      </c>
      <c r="N43" s="31">
        <v>34.700000000000003</v>
      </c>
      <c r="O43" s="31">
        <v>31.6</v>
      </c>
      <c r="P43" s="30">
        <v>0.35099999999999998</v>
      </c>
      <c r="Q43" s="31">
        <v>36.479999999999997</v>
      </c>
      <c r="R43" s="30">
        <v>925500</v>
      </c>
      <c r="S43" s="31">
        <v>14130</v>
      </c>
      <c r="T43" s="31">
        <v>2750</v>
      </c>
      <c r="U43" s="30">
        <v>1471</v>
      </c>
      <c r="V43" s="31">
        <v>34700</v>
      </c>
      <c r="W43" s="30">
        <v>380.3</v>
      </c>
      <c r="X43" s="31">
        <v>17600</v>
      </c>
      <c r="Y43" s="30">
        <v>-545200</v>
      </c>
      <c r="Z43" s="30">
        <v>3</v>
      </c>
      <c r="AA43" s="31">
        <v>3</v>
      </c>
      <c r="AB43" s="31"/>
    </row>
    <row r="44" spans="1:28" x14ac:dyDescent="0.45">
      <c r="A44" s="105" t="s">
        <v>486</v>
      </c>
      <c r="B44" s="73">
        <v>10.9</v>
      </c>
      <c r="C44" s="35">
        <v>90</v>
      </c>
      <c r="D44" s="36">
        <v>8</v>
      </c>
      <c r="E44" s="36">
        <v>11</v>
      </c>
      <c r="F44" s="36">
        <v>5.5</v>
      </c>
      <c r="G44" s="35">
        <v>1390</v>
      </c>
      <c r="H44" s="35" t="s">
        <v>484</v>
      </c>
      <c r="I44" s="35">
        <v>48</v>
      </c>
      <c r="J44" s="35">
        <v>51</v>
      </c>
      <c r="K44" s="35">
        <v>1180</v>
      </c>
      <c r="L44" s="35">
        <v>25</v>
      </c>
      <c r="M44" s="36">
        <v>63.6</v>
      </c>
      <c r="N44" s="36">
        <v>35.299999999999997</v>
      </c>
      <c r="O44" s="36">
        <v>31.7</v>
      </c>
      <c r="P44" s="35">
        <v>0.35099999999999998</v>
      </c>
      <c r="Q44" s="36">
        <v>32.15</v>
      </c>
      <c r="R44" s="35">
        <v>1044000</v>
      </c>
      <c r="S44" s="36">
        <v>16050</v>
      </c>
      <c r="T44" s="36">
        <v>2740</v>
      </c>
      <c r="U44" s="35">
        <v>1659</v>
      </c>
      <c r="V44" s="36">
        <v>34600</v>
      </c>
      <c r="W44" s="35">
        <v>428.9</v>
      </c>
      <c r="X44" s="36">
        <v>17600</v>
      </c>
      <c r="Y44" s="35">
        <v>-615000</v>
      </c>
      <c r="Z44" s="35">
        <v>1</v>
      </c>
      <c r="AA44" s="36">
        <v>3</v>
      </c>
      <c r="AB44" s="36"/>
    </row>
    <row r="45" spans="1:28" x14ac:dyDescent="0.45">
      <c r="A45" s="104" t="s">
        <v>487</v>
      </c>
      <c r="B45" s="71">
        <v>12.2</v>
      </c>
      <c r="C45" s="30">
        <v>90</v>
      </c>
      <c r="D45" s="31">
        <v>9</v>
      </c>
      <c r="E45" s="31">
        <v>11</v>
      </c>
      <c r="F45" s="31">
        <v>5.5</v>
      </c>
      <c r="G45" s="30">
        <v>1550</v>
      </c>
      <c r="H45" s="30" t="s">
        <v>484</v>
      </c>
      <c r="I45" s="30">
        <v>49</v>
      </c>
      <c r="J45" s="30">
        <v>51</v>
      </c>
      <c r="K45" s="30">
        <v>1320</v>
      </c>
      <c r="L45" s="30">
        <v>25.4</v>
      </c>
      <c r="M45" s="31">
        <v>63.6</v>
      </c>
      <c r="N45" s="31">
        <v>35.9</v>
      </c>
      <c r="O45" s="31">
        <v>31.8</v>
      </c>
      <c r="P45" s="30">
        <v>0.35099999999999998</v>
      </c>
      <c r="Q45" s="31">
        <v>28.77</v>
      </c>
      <c r="R45" s="30">
        <v>1158000</v>
      </c>
      <c r="S45" s="31">
        <v>17930</v>
      </c>
      <c r="T45" s="31">
        <v>2730</v>
      </c>
      <c r="U45" s="30">
        <v>1840</v>
      </c>
      <c r="V45" s="31">
        <v>34400</v>
      </c>
      <c r="W45" s="30">
        <v>476.5</v>
      </c>
      <c r="X45" s="31">
        <v>17500</v>
      </c>
      <c r="Y45" s="30">
        <v>-681900</v>
      </c>
      <c r="Z45" s="30">
        <v>1</v>
      </c>
      <c r="AA45" s="31">
        <v>2</v>
      </c>
      <c r="AB45" s="31"/>
    </row>
    <row r="46" spans="1:28" x14ac:dyDescent="0.45">
      <c r="A46" s="105" t="s">
        <v>488</v>
      </c>
      <c r="B46" s="73">
        <v>13.4</v>
      </c>
      <c r="C46" s="35">
        <v>90</v>
      </c>
      <c r="D46" s="36">
        <v>10</v>
      </c>
      <c r="E46" s="36">
        <v>11</v>
      </c>
      <c r="F46" s="36">
        <v>5.5</v>
      </c>
      <c r="G46" s="35">
        <v>1710.0000000000002</v>
      </c>
      <c r="H46" s="35" t="s">
        <v>484</v>
      </c>
      <c r="I46" s="35">
        <v>50</v>
      </c>
      <c r="J46" s="35">
        <v>51</v>
      </c>
      <c r="K46" s="35">
        <v>1450</v>
      </c>
      <c r="L46" s="35">
        <v>25.8</v>
      </c>
      <c r="M46" s="36">
        <v>63.6</v>
      </c>
      <c r="N46" s="36">
        <v>36.5</v>
      </c>
      <c r="O46" s="36">
        <v>31.9</v>
      </c>
      <c r="P46" s="35">
        <v>0.35099999999999998</v>
      </c>
      <c r="Q46" s="36">
        <v>26.07</v>
      </c>
      <c r="R46" s="35">
        <v>1269000</v>
      </c>
      <c r="S46" s="36">
        <v>19770</v>
      </c>
      <c r="T46" s="36">
        <v>2720</v>
      </c>
      <c r="U46" s="35">
        <v>2015</v>
      </c>
      <c r="V46" s="36">
        <v>34300</v>
      </c>
      <c r="W46" s="35">
        <v>523.29999999999995</v>
      </c>
      <c r="X46" s="36">
        <v>17500</v>
      </c>
      <c r="Y46" s="35">
        <v>-745900.00000000012</v>
      </c>
      <c r="Z46" s="35">
        <v>1</v>
      </c>
      <c r="AA46" s="36">
        <v>1</v>
      </c>
      <c r="AB46" s="36"/>
    </row>
    <row r="47" spans="1:28" x14ac:dyDescent="0.45">
      <c r="A47" s="43" t="s">
        <v>489</v>
      </c>
      <c r="B47" s="71">
        <v>14.7</v>
      </c>
      <c r="C47" s="30">
        <v>90</v>
      </c>
      <c r="D47" s="31">
        <v>11</v>
      </c>
      <c r="E47" s="31">
        <v>11</v>
      </c>
      <c r="F47" s="31">
        <v>5.5</v>
      </c>
      <c r="G47" s="30">
        <v>1870</v>
      </c>
      <c r="H47" s="30" t="s">
        <v>484</v>
      </c>
      <c r="I47" s="30">
        <v>51</v>
      </c>
      <c r="J47" s="30">
        <v>51</v>
      </c>
      <c r="K47" s="30">
        <v>1590</v>
      </c>
      <c r="L47" s="30">
        <v>26.200000000000003</v>
      </c>
      <c r="M47" s="31">
        <v>63.6</v>
      </c>
      <c r="N47" s="31">
        <v>37</v>
      </c>
      <c r="O47" s="31">
        <v>32.1</v>
      </c>
      <c r="P47" s="30">
        <v>0.35099999999999998</v>
      </c>
      <c r="Q47" s="31">
        <v>23.86</v>
      </c>
      <c r="R47" s="30">
        <v>1376000</v>
      </c>
      <c r="S47" s="31">
        <v>21570</v>
      </c>
      <c r="T47" s="31">
        <v>2710</v>
      </c>
      <c r="U47" s="30">
        <v>2183</v>
      </c>
      <c r="V47" s="31">
        <v>34200</v>
      </c>
      <c r="W47" s="30">
        <v>569.4</v>
      </c>
      <c r="X47" s="31">
        <v>17400</v>
      </c>
      <c r="Y47" s="30">
        <v>-807000</v>
      </c>
      <c r="Z47" s="30">
        <v>1</v>
      </c>
      <c r="AA47" s="31">
        <v>1</v>
      </c>
      <c r="AB47" s="31"/>
    </row>
    <row r="48" spans="1:28" x14ac:dyDescent="0.45">
      <c r="A48" s="43" t="s">
        <v>490</v>
      </c>
      <c r="B48" s="71">
        <v>9.26</v>
      </c>
      <c r="C48" s="30">
        <v>100</v>
      </c>
      <c r="D48" s="31">
        <v>6</v>
      </c>
      <c r="E48" s="31">
        <v>12</v>
      </c>
      <c r="F48" s="31">
        <v>6</v>
      </c>
      <c r="G48" s="30">
        <v>1180</v>
      </c>
      <c r="H48" s="30" t="s">
        <v>491</v>
      </c>
      <c r="I48" s="30">
        <v>46</v>
      </c>
      <c r="J48" s="30">
        <v>53</v>
      </c>
      <c r="K48" s="30">
        <v>1000</v>
      </c>
      <c r="L48" s="30">
        <v>26.400000000000002</v>
      </c>
      <c r="M48" s="31">
        <v>70.7</v>
      </c>
      <c r="N48" s="31">
        <v>37.400000000000006</v>
      </c>
      <c r="O48" s="31">
        <v>35.099999999999994</v>
      </c>
      <c r="P48" s="30">
        <v>0.39</v>
      </c>
      <c r="Q48" s="31">
        <v>42.09</v>
      </c>
      <c r="R48" s="30">
        <v>1111000</v>
      </c>
      <c r="S48" s="31">
        <v>15090</v>
      </c>
      <c r="T48" s="31">
        <v>3070</v>
      </c>
      <c r="U48" s="30">
        <v>1763</v>
      </c>
      <c r="V48" s="31">
        <v>38700</v>
      </c>
      <c r="W48" s="30">
        <v>458</v>
      </c>
      <c r="X48" s="31">
        <v>19700</v>
      </c>
      <c r="Y48" s="30">
        <v>-652500</v>
      </c>
      <c r="Z48" s="30">
        <v>3</v>
      </c>
      <c r="AA48" s="31">
        <v>4</v>
      </c>
      <c r="AB48" s="31"/>
    </row>
    <row r="49" spans="1:28" x14ac:dyDescent="0.45">
      <c r="A49" s="40" t="s">
        <v>492</v>
      </c>
      <c r="B49" s="73">
        <v>10.7</v>
      </c>
      <c r="C49" s="35">
        <v>100</v>
      </c>
      <c r="D49" s="36">
        <v>7</v>
      </c>
      <c r="E49" s="36">
        <v>12</v>
      </c>
      <c r="F49" s="36">
        <v>6</v>
      </c>
      <c r="G49" s="35">
        <v>1370</v>
      </c>
      <c r="H49" s="35" t="s">
        <v>491</v>
      </c>
      <c r="I49" s="35">
        <v>47</v>
      </c>
      <c r="J49" s="35">
        <v>53</v>
      </c>
      <c r="K49" s="35">
        <v>1160</v>
      </c>
      <c r="L49" s="35">
        <v>26.9</v>
      </c>
      <c r="M49" s="36">
        <v>70.7</v>
      </c>
      <c r="N49" s="36">
        <v>38.1</v>
      </c>
      <c r="O49" s="36">
        <v>35.099999999999994</v>
      </c>
      <c r="P49" s="35">
        <v>0.39</v>
      </c>
      <c r="Q49" s="36">
        <v>36.33</v>
      </c>
      <c r="R49" s="35">
        <v>1282000</v>
      </c>
      <c r="S49" s="36">
        <v>17540</v>
      </c>
      <c r="T49" s="36">
        <v>3060</v>
      </c>
      <c r="U49" s="35">
        <v>2037</v>
      </c>
      <c r="V49" s="36">
        <v>38600</v>
      </c>
      <c r="W49" s="35">
        <v>527.20000000000005</v>
      </c>
      <c r="X49" s="36">
        <v>19600</v>
      </c>
      <c r="Y49" s="35">
        <v>-754800.00000000012</v>
      </c>
      <c r="Z49" s="35">
        <v>3</v>
      </c>
      <c r="AA49" s="36">
        <v>3</v>
      </c>
      <c r="AB49" s="36"/>
    </row>
    <row r="50" spans="1:28" x14ac:dyDescent="0.45">
      <c r="A50" s="104" t="s">
        <v>493</v>
      </c>
      <c r="B50" s="71">
        <v>12.2</v>
      </c>
      <c r="C50" s="30">
        <v>100</v>
      </c>
      <c r="D50" s="31">
        <v>8</v>
      </c>
      <c r="E50" s="31">
        <v>12</v>
      </c>
      <c r="F50" s="31">
        <v>6</v>
      </c>
      <c r="G50" s="30">
        <v>1550</v>
      </c>
      <c r="H50" s="30" t="s">
        <v>491</v>
      </c>
      <c r="I50" s="30">
        <v>48</v>
      </c>
      <c r="J50" s="30">
        <v>53</v>
      </c>
      <c r="K50" s="30">
        <v>1310</v>
      </c>
      <c r="L50" s="30">
        <v>27.400000000000002</v>
      </c>
      <c r="M50" s="31">
        <v>70.7</v>
      </c>
      <c r="N50" s="31">
        <v>38.700000000000003</v>
      </c>
      <c r="O50" s="31">
        <v>35.200000000000003</v>
      </c>
      <c r="P50" s="30">
        <v>0.39</v>
      </c>
      <c r="Q50" s="31">
        <v>32</v>
      </c>
      <c r="R50" s="30">
        <v>1448000</v>
      </c>
      <c r="S50" s="31">
        <v>19940</v>
      </c>
      <c r="T50" s="31">
        <v>3060</v>
      </c>
      <c r="U50" s="30">
        <v>2302</v>
      </c>
      <c r="V50" s="31">
        <v>38500</v>
      </c>
      <c r="W50" s="30">
        <v>594.9</v>
      </c>
      <c r="X50" s="31">
        <v>19600</v>
      </c>
      <c r="Y50" s="30">
        <v>-853500</v>
      </c>
      <c r="Z50" s="30">
        <v>2</v>
      </c>
      <c r="AA50" s="31">
        <v>3</v>
      </c>
      <c r="AB50" s="31"/>
    </row>
    <row r="51" spans="1:28" x14ac:dyDescent="0.45">
      <c r="A51" s="105" t="s">
        <v>494</v>
      </c>
      <c r="B51" s="73">
        <v>15</v>
      </c>
      <c r="C51" s="35">
        <v>100</v>
      </c>
      <c r="D51" s="36">
        <v>10</v>
      </c>
      <c r="E51" s="36">
        <v>12</v>
      </c>
      <c r="F51" s="36">
        <v>6</v>
      </c>
      <c r="G51" s="35">
        <v>1920</v>
      </c>
      <c r="H51" s="35" t="s">
        <v>491</v>
      </c>
      <c r="I51" s="35">
        <v>50</v>
      </c>
      <c r="J51" s="35">
        <v>53</v>
      </c>
      <c r="K51" s="35">
        <v>1620</v>
      </c>
      <c r="L51" s="35">
        <v>28.2</v>
      </c>
      <c r="M51" s="36">
        <v>70.7</v>
      </c>
      <c r="N51" s="36">
        <v>39.900000000000006</v>
      </c>
      <c r="O51" s="36">
        <v>35.4</v>
      </c>
      <c r="P51" s="35">
        <v>0.39</v>
      </c>
      <c r="Q51" s="36">
        <v>25.92</v>
      </c>
      <c r="R51" s="35">
        <v>1767000</v>
      </c>
      <c r="S51" s="36">
        <v>24620</v>
      </c>
      <c r="T51" s="36">
        <v>3040</v>
      </c>
      <c r="U51" s="35">
        <v>2807</v>
      </c>
      <c r="V51" s="36">
        <v>38300</v>
      </c>
      <c r="W51" s="35">
        <v>726.59999999999991</v>
      </c>
      <c r="X51" s="36">
        <v>19500</v>
      </c>
      <c r="Y51" s="35">
        <v>-1040000</v>
      </c>
      <c r="Z51" s="35">
        <v>1</v>
      </c>
      <c r="AA51" s="36">
        <v>2</v>
      </c>
      <c r="AB51" s="36"/>
    </row>
    <row r="52" spans="1:28" x14ac:dyDescent="0.45">
      <c r="A52" s="104" t="s">
        <v>495</v>
      </c>
      <c r="B52" s="71">
        <v>17.8</v>
      </c>
      <c r="C52" s="30">
        <v>100</v>
      </c>
      <c r="D52" s="31">
        <v>12</v>
      </c>
      <c r="E52" s="31">
        <v>12</v>
      </c>
      <c r="F52" s="31">
        <v>6</v>
      </c>
      <c r="G52" s="30">
        <v>2270</v>
      </c>
      <c r="H52" s="30" t="s">
        <v>491</v>
      </c>
      <c r="I52" s="30">
        <v>52</v>
      </c>
      <c r="J52" s="30">
        <v>53</v>
      </c>
      <c r="K52" s="30">
        <v>1910.0000000000002</v>
      </c>
      <c r="L52" s="30">
        <v>29</v>
      </c>
      <c r="M52" s="31">
        <v>70.7</v>
      </c>
      <c r="N52" s="31">
        <v>41.1</v>
      </c>
      <c r="O52" s="31">
        <v>35.699999999999996</v>
      </c>
      <c r="P52" s="30">
        <v>0.39</v>
      </c>
      <c r="Q52" s="31">
        <v>21.86</v>
      </c>
      <c r="R52" s="30">
        <v>2067000</v>
      </c>
      <c r="S52" s="31">
        <v>29120</v>
      </c>
      <c r="T52" s="31">
        <v>3020</v>
      </c>
      <c r="U52" s="30">
        <v>3279</v>
      </c>
      <c r="V52" s="31">
        <v>38000</v>
      </c>
      <c r="W52" s="30">
        <v>854.4</v>
      </c>
      <c r="X52" s="31">
        <v>19400</v>
      </c>
      <c r="Y52" s="30">
        <v>-1213000</v>
      </c>
      <c r="Z52" s="30">
        <v>1</v>
      </c>
      <c r="AA52" s="31">
        <v>1</v>
      </c>
      <c r="AB52" s="31"/>
    </row>
    <row r="53" spans="1:28" x14ac:dyDescent="0.45">
      <c r="A53" s="43" t="s">
        <v>496</v>
      </c>
      <c r="B53" s="71">
        <v>13.4</v>
      </c>
      <c r="C53" s="30">
        <v>110</v>
      </c>
      <c r="D53" s="31">
        <v>8</v>
      </c>
      <c r="E53" s="31">
        <v>12</v>
      </c>
      <c r="F53" s="31">
        <v>6</v>
      </c>
      <c r="G53" s="30">
        <v>1710.0000000000002</v>
      </c>
      <c r="H53" s="30" t="s">
        <v>491</v>
      </c>
      <c r="I53" s="30">
        <v>48</v>
      </c>
      <c r="J53" s="30">
        <v>62</v>
      </c>
      <c r="K53" s="30">
        <v>1470</v>
      </c>
      <c r="L53" s="30">
        <v>29.900000000000002</v>
      </c>
      <c r="M53" s="31">
        <v>77.8</v>
      </c>
      <c r="N53" s="31">
        <v>42.199999999999996</v>
      </c>
      <c r="O53" s="31">
        <v>38.700000000000003</v>
      </c>
      <c r="P53" s="30">
        <v>0.43</v>
      </c>
      <c r="Q53" s="31">
        <v>31.98</v>
      </c>
      <c r="R53" s="30">
        <v>1953000</v>
      </c>
      <c r="S53" s="31">
        <v>24370</v>
      </c>
      <c r="T53" s="31">
        <v>3380</v>
      </c>
      <c r="U53" s="30">
        <v>3105</v>
      </c>
      <c r="V53" s="31">
        <v>42600</v>
      </c>
      <c r="W53" s="30">
        <v>801.1</v>
      </c>
      <c r="X53" s="31">
        <v>21600</v>
      </c>
      <c r="Y53" s="30">
        <v>-1152000</v>
      </c>
      <c r="Z53" s="30">
        <v>3</v>
      </c>
      <c r="AA53" s="31">
        <v>3</v>
      </c>
      <c r="AB53" s="31"/>
    </row>
    <row r="54" spans="1:28" x14ac:dyDescent="0.45">
      <c r="A54" s="40" t="s">
        <v>497</v>
      </c>
      <c r="B54" s="73">
        <v>16.600000000000001</v>
      </c>
      <c r="C54" s="35">
        <v>110</v>
      </c>
      <c r="D54" s="36">
        <v>10</v>
      </c>
      <c r="E54" s="36">
        <v>13</v>
      </c>
      <c r="F54" s="36">
        <v>6.5</v>
      </c>
      <c r="G54" s="35">
        <v>2120</v>
      </c>
      <c r="H54" s="35" t="s">
        <v>491</v>
      </c>
      <c r="I54" s="35">
        <v>50</v>
      </c>
      <c r="J54" s="35">
        <v>62</v>
      </c>
      <c r="K54" s="35">
        <v>1820</v>
      </c>
      <c r="L54" s="35">
        <v>30.6</v>
      </c>
      <c r="M54" s="36">
        <v>77.8</v>
      </c>
      <c r="N54" s="36">
        <v>43.3</v>
      </c>
      <c r="O54" s="36">
        <v>38.799999999999997</v>
      </c>
      <c r="P54" s="35">
        <v>0.42899999999999999</v>
      </c>
      <c r="Q54" s="36">
        <v>25.79</v>
      </c>
      <c r="R54" s="35">
        <v>2380000</v>
      </c>
      <c r="S54" s="36">
        <v>29990</v>
      </c>
      <c r="T54" s="36">
        <v>3350</v>
      </c>
      <c r="U54" s="35">
        <v>3782</v>
      </c>
      <c r="V54" s="36">
        <v>42300.000000000007</v>
      </c>
      <c r="W54" s="35">
        <v>977.4</v>
      </c>
      <c r="X54" s="36">
        <v>21500</v>
      </c>
      <c r="Y54" s="35">
        <v>-1402000</v>
      </c>
      <c r="Z54" s="35">
        <v>1</v>
      </c>
      <c r="AA54" s="36">
        <v>3</v>
      </c>
      <c r="AB54" s="36"/>
    </row>
    <row r="55" spans="1:28" x14ac:dyDescent="0.45">
      <c r="A55" s="44" t="s">
        <v>498</v>
      </c>
      <c r="B55" s="114">
        <v>19.7</v>
      </c>
      <c r="C55" s="41">
        <v>110</v>
      </c>
      <c r="D55" s="42">
        <v>12</v>
      </c>
      <c r="E55" s="42">
        <v>13</v>
      </c>
      <c r="F55" s="42">
        <v>6.5</v>
      </c>
      <c r="G55" s="41">
        <v>2510</v>
      </c>
      <c r="H55" s="41" t="s">
        <v>491</v>
      </c>
      <c r="I55" s="41">
        <v>52</v>
      </c>
      <c r="J55" s="41">
        <v>62</v>
      </c>
      <c r="K55" s="41">
        <v>2150</v>
      </c>
      <c r="L55" s="41">
        <v>31.5</v>
      </c>
      <c r="M55" s="42">
        <v>77.8</v>
      </c>
      <c r="N55" s="42">
        <v>44.5</v>
      </c>
      <c r="O55" s="42">
        <v>39.1</v>
      </c>
      <c r="P55" s="41">
        <v>0.42899999999999999</v>
      </c>
      <c r="Q55" s="42">
        <v>21.73</v>
      </c>
      <c r="R55" s="41">
        <v>2791000</v>
      </c>
      <c r="S55" s="42">
        <v>35540</v>
      </c>
      <c r="T55" s="42">
        <v>3330</v>
      </c>
      <c r="U55" s="41">
        <v>4432</v>
      </c>
      <c r="V55" s="42">
        <v>42000</v>
      </c>
      <c r="W55" s="41">
        <v>1150</v>
      </c>
      <c r="X55" s="42">
        <v>21400</v>
      </c>
      <c r="Y55" s="41">
        <v>-1641000</v>
      </c>
      <c r="Z55" s="41">
        <v>1</v>
      </c>
      <c r="AA55" s="42">
        <v>1</v>
      </c>
      <c r="AB55" s="31"/>
    </row>
    <row r="56" spans="1:28" x14ac:dyDescent="0.45">
      <c r="A56" s="29" t="s">
        <v>499</v>
      </c>
      <c r="B56" s="69">
        <v>14.7</v>
      </c>
      <c r="C56" s="26">
        <v>120</v>
      </c>
      <c r="D56" s="27">
        <v>8</v>
      </c>
      <c r="E56" s="27">
        <v>13</v>
      </c>
      <c r="F56" s="27">
        <v>6.5</v>
      </c>
      <c r="G56" s="26">
        <v>1870</v>
      </c>
      <c r="H56" s="26" t="s">
        <v>491</v>
      </c>
      <c r="I56" s="26">
        <v>48</v>
      </c>
      <c r="J56" s="26">
        <v>72</v>
      </c>
      <c r="K56" s="26">
        <v>1630</v>
      </c>
      <c r="L56" s="26">
        <v>32.299999999999997</v>
      </c>
      <c r="M56" s="27">
        <v>84.9</v>
      </c>
      <c r="N56" s="27">
        <v>45.599999999999994</v>
      </c>
      <c r="O56" s="27">
        <v>42.199999999999996</v>
      </c>
      <c r="P56" s="26">
        <v>0.46899999999999997</v>
      </c>
      <c r="Q56" s="27">
        <v>31.87</v>
      </c>
      <c r="R56" s="26">
        <v>2554000</v>
      </c>
      <c r="S56" s="27">
        <v>29110</v>
      </c>
      <c r="T56" s="27">
        <v>3690</v>
      </c>
      <c r="U56" s="26">
        <v>4060</v>
      </c>
      <c r="V56" s="27">
        <v>46500</v>
      </c>
      <c r="W56" s="26">
        <v>1048</v>
      </c>
      <c r="X56" s="27">
        <v>23700</v>
      </c>
      <c r="Y56" s="26">
        <v>-1506000</v>
      </c>
      <c r="Z56" s="26">
        <v>3</v>
      </c>
      <c r="AA56" s="27">
        <v>4</v>
      </c>
      <c r="AB56" s="27">
        <v>4</v>
      </c>
    </row>
    <row r="57" spans="1:28" x14ac:dyDescent="0.45">
      <c r="A57" s="104" t="s">
        <v>500</v>
      </c>
      <c r="B57" s="71">
        <v>18.2</v>
      </c>
      <c r="C57" s="30">
        <v>120</v>
      </c>
      <c r="D57" s="31">
        <v>10</v>
      </c>
      <c r="E57" s="31">
        <v>13</v>
      </c>
      <c r="F57" s="31">
        <v>6.5</v>
      </c>
      <c r="G57" s="30">
        <v>2320</v>
      </c>
      <c r="H57" s="30" t="s">
        <v>491</v>
      </c>
      <c r="I57" s="30">
        <v>50</v>
      </c>
      <c r="J57" s="30">
        <v>72</v>
      </c>
      <c r="K57" s="30">
        <v>2020</v>
      </c>
      <c r="L57" s="30">
        <v>33.1</v>
      </c>
      <c r="M57" s="31">
        <v>84.9</v>
      </c>
      <c r="N57" s="31">
        <v>46.900000000000006</v>
      </c>
      <c r="O57" s="31">
        <v>42.400000000000006</v>
      </c>
      <c r="P57" s="30">
        <v>0.46899999999999997</v>
      </c>
      <c r="Q57" s="31">
        <v>25.76</v>
      </c>
      <c r="R57" s="30">
        <v>3129000</v>
      </c>
      <c r="S57" s="31">
        <v>36030</v>
      </c>
      <c r="T57" s="31">
        <v>3670</v>
      </c>
      <c r="U57" s="30">
        <v>4976</v>
      </c>
      <c r="V57" s="31">
        <v>46300</v>
      </c>
      <c r="W57" s="30">
        <v>1283</v>
      </c>
      <c r="X57" s="31">
        <v>23500</v>
      </c>
      <c r="Y57" s="30">
        <v>-1846000</v>
      </c>
      <c r="Z57" s="30">
        <v>2</v>
      </c>
      <c r="AA57" s="31">
        <v>3</v>
      </c>
      <c r="AB57" s="31">
        <v>3</v>
      </c>
    </row>
    <row r="58" spans="1:28" x14ac:dyDescent="0.45">
      <c r="A58" s="40" t="s">
        <v>501</v>
      </c>
      <c r="B58" s="73">
        <v>19.899999999999999</v>
      </c>
      <c r="C58" s="35">
        <v>120</v>
      </c>
      <c r="D58" s="36">
        <v>11</v>
      </c>
      <c r="E58" s="36">
        <v>13</v>
      </c>
      <c r="F58" s="36">
        <v>6.5</v>
      </c>
      <c r="G58" s="35">
        <v>2540</v>
      </c>
      <c r="H58" s="35" t="s">
        <v>491</v>
      </c>
      <c r="I58" s="35">
        <v>51</v>
      </c>
      <c r="J58" s="35">
        <v>72</v>
      </c>
      <c r="K58" s="35">
        <v>2210</v>
      </c>
      <c r="L58" s="35">
        <v>33.6</v>
      </c>
      <c r="M58" s="36">
        <v>84.9</v>
      </c>
      <c r="N58" s="36">
        <v>47.5</v>
      </c>
      <c r="O58" s="36">
        <v>42.5</v>
      </c>
      <c r="P58" s="35">
        <v>0.46899999999999997</v>
      </c>
      <c r="Q58" s="36">
        <v>23.54</v>
      </c>
      <c r="R58" s="35">
        <v>3406000</v>
      </c>
      <c r="S58" s="36">
        <v>39410</v>
      </c>
      <c r="T58" s="36">
        <v>3660</v>
      </c>
      <c r="U58" s="35">
        <v>5415</v>
      </c>
      <c r="V58" s="36">
        <v>46200</v>
      </c>
      <c r="W58" s="35">
        <v>1398</v>
      </c>
      <c r="X58" s="36">
        <v>23500</v>
      </c>
      <c r="Y58" s="35">
        <v>-2009000</v>
      </c>
      <c r="Z58" s="35">
        <v>1</v>
      </c>
      <c r="AA58" s="36">
        <v>3</v>
      </c>
      <c r="AB58" s="36">
        <v>3</v>
      </c>
    </row>
    <row r="59" spans="1:28" x14ac:dyDescent="0.45">
      <c r="A59" s="104" t="s">
        <v>502</v>
      </c>
      <c r="B59" s="71">
        <v>21.6</v>
      </c>
      <c r="C59" s="30">
        <v>120</v>
      </c>
      <c r="D59" s="31">
        <v>12</v>
      </c>
      <c r="E59" s="31">
        <v>13</v>
      </c>
      <c r="F59" s="31">
        <v>6.5</v>
      </c>
      <c r="G59" s="30">
        <v>2750</v>
      </c>
      <c r="H59" s="30" t="s">
        <v>491</v>
      </c>
      <c r="I59" s="30">
        <v>52</v>
      </c>
      <c r="J59" s="30">
        <v>72</v>
      </c>
      <c r="K59" s="30">
        <v>2390</v>
      </c>
      <c r="L59" s="30">
        <v>34</v>
      </c>
      <c r="M59" s="31">
        <v>84.9</v>
      </c>
      <c r="N59" s="31">
        <v>48</v>
      </c>
      <c r="O59" s="31">
        <v>42.599999999999994</v>
      </c>
      <c r="P59" s="30">
        <v>0.46899999999999997</v>
      </c>
      <c r="Q59" s="31">
        <v>21.69</v>
      </c>
      <c r="R59" s="30">
        <v>3677000</v>
      </c>
      <c r="S59" s="31">
        <v>42730</v>
      </c>
      <c r="T59" s="31">
        <v>3650</v>
      </c>
      <c r="U59" s="30">
        <v>5843</v>
      </c>
      <c r="V59" s="31">
        <v>46100</v>
      </c>
      <c r="W59" s="30">
        <v>1511</v>
      </c>
      <c r="X59" s="31">
        <v>23400</v>
      </c>
      <c r="Y59" s="30">
        <v>-2166000</v>
      </c>
      <c r="Z59" s="30">
        <v>1</v>
      </c>
      <c r="AA59" s="31">
        <v>2</v>
      </c>
      <c r="AB59" s="31">
        <v>3</v>
      </c>
    </row>
    <row r="60" spans="1:28" x14ac:dyDescent="0.45">
      <c r="A60" s="40" t="s">
        <v>503</v>
      </c>
      <c r="B60" s="73">
        <v>23.3</v>
      </c>
      <c r="C60" s="35">
        <v>120</v>
      </c>
      <c r="D60" s="36">
        <v>13</v>
      </c>
      <c r="E60" s="36">
        <v>13</v>
      </c>
      <c r="F60" s="36">
        <v>6.5</v>
      </c>
      <c r="G60" s="35">
        <v>2970</v>
      </c>
      <c r="H60" s="35" t="s">
        <v>491</v>
      </c>
      <c r="I60" s="35">
        <v>53</v>
      </c>
      <c r="J60" s="35">
        <v>72</v>
      </c>
      <c r="K60" s="35">
        <v>2580</v>
      </c>
      <c r="L60" s="35">
        <v>34.4</v>
      </c>
      <c r="M60" s="36">
        <v>84.9</v>
      </c>
      <c r="N60" s="36">
        <v>48.6</v>
      </c>
      <c r="O60" s="36">
        <v>42.800000000000004</v>
      </c>
      <c r="P60" s="35">
        <v>0.46899999999999997</v>
      </c>
      <c r="Q60" s="36">
        <v>20.12</v>
      </c>
      <c r="R60" s="35">
        <v>3940000</v>
      </c>
      <c r="S60" s="36">
        <v>46010</v>
      </c>
      <c r="T60" s="36">
        <v>3640</v>
      </c>
      <c r="U60" s="35">
        <v>6258</v>
      </c>
      <c r="V60" s="36">
        <v>45900</v>
      </c>
      <c r="W60" s="35">
        <v>1622</v>
      </c>
      <c r="X60" s="36">
        <v>23400</v>
      </c>
      <c r="Y60" s="35">
        <v>-2318000</v>
      </c>
      <c r="Z60" s="35">
        <v>1</v>
      </c>
      <c r="AA60" s="36">
        <v>1</v>
      </c>
      <c r="AB60" s="36">
        <v>3</v>
      </c>
    </row>
    <row r="61" spans="1:28" x14ac:dyDescent="0.45">
      <c r="A61" s="43" t="s">
        <v>504</v>
      </c>
      <c r="B61" s="71">
        <v>26.6</v>
      </c>
      <c r="C61" s="30">
        <v>120</v>
      </c>
      <c r="D61" s="31">
        <v>15</v>
      </c>
      <c r="E61" s="31">
        <v>13</v>
      </c>
      <c r="F61" s="31">
        <v>6.5</v>
      </c>
      <c r="G61" s="30">
        <v>3390</v>
      </c>
      <c r="H61" s="30" t="s">
        <v>491</v>
      </c>
      <c r="I61" s="30">
        <v>55</v>
      </c>
      <c r="J61" s="30">
        <v>72</v>
      </c>
      <c r="K61" s="30">
        <v>2940</v>
      </c>
      <c r="L61" s="30">
        <v>35.099999999999994</v>
      </c>
      <c r="M61" s="31">
        <v>84.9</v>
      </c>
      <c r="N61" s="31">
        <v>49.699999999999996</v>
      </c>
      <c r="O61" s="31">
        <v>43.099999999999994</v>
      </c>
      <c r="P61" s="30">
        <v>0.46899999999999997</v>
      </c>
      <c r="Q61" s="31">
        <v>17.600000000000001</v>
      </c>
      <c r="R61" s="30">
        <v>4449000</v>
      </c>
      <c r="S61" s="31">
        <v>52430</v>
      </c>
      <c r="T61" s="31">
        <v>3620</v>
      </c>
      <c r="U61" s="30">
        <v>7056</v>
      </c>
      <c r="V61" s="31">
        <v>45599.999999999993</v>
      </c>
      <c r="W61" s="30">
        <v>1842</v>
      </c>
      <c r="X61" s="31">
        <v>23300</v>
      </c>
      <c r="Y61" s="30">
        <v>-2607000</v>
      </c>
      <c r="Z61" s="30">
        <v>1</v>
      </c>
      <c r="AA61" s="31">
        <v>1</v>
      </c>
      <c r="AB61" s="31">
        <v>1</v>
      </c>
    </row>
    <row r="62" spans="1:28" x14ac:dyDescent="0.45">
      <c r="A62" s="40" t="s">
        <v>505</v>
      </c>
      <c r="B62" s="73">
        <v>28.3</v>
      </c>
      <c r="C62" s="35">
        <v>120</v>
      </c>
      <c r="D62" s="36">
        <v>16</v>
      </c>
      <c r="E62" s="36">
        <v>13</v>
      </c>
      <c r="F62" s="36">
        <v>6.5</v>
      </c>
      <c r="G62" s="35">
        <v>3600</v>
      </c>
      <c r="H62" s="35" t="s">
        <v>491</v>
      </c>
      <c r="I62" s="35">
        <v>56</v>
      </c>
      <c r="J62" s="35">
        <v>72</v>
      </c>
      <c r="K62" s="35">
        <v>3120</v>
      </c>
      <c r="L62" s="35">
        <v>35.5</v>
      </c>
      <c r="M62" s="36">
        <v>84.9</v>
      </c>
      <c r="N62" s="36">
        <v>50.199999999999996</v>
      </c>
      <c r="O62" s="36">
        <v>43.2</v>
      </c>
      <c r="P62" s="35">
        <v>0.46899999999999997</v>
      </c>
      <c r="Q62" s="36">
        <v>16.579999999999998</v>
      </c>
      <c r="R62" s="35">
        <v>4694000</v>
      </c>
      <c r="S62" s="36">
        <v>55570</v>
      </c>
      <c r="T62" s="36">
        <v>3610</v>
      </c>
      <c r="U62" s="35">
        <v>7438</v>
      </c>
      <c r="V62" s="36">
        <v>45400</v>
      </c>
      <c r="W62" s="35">
        <v>1950</v>
      </c>
      <c r="X62" s="36">
        <v>23300</v>
      </c>
      <c r="Y62" s="35">
        <v>-2744000</v>
      </c>
      <c r="Z62" s="35">
        <v>1</v>
      </c>
      <c r="AA62" s="36">
        <v>1</v>
      </c>
      <c r="AB62" s="36">
        <v>1</v>
      </c>
    </row>
    <row r="63" spans="1:28" x14ac:dyDescent="0.45">
      <c r="A63" s="40" t="s">
        <v>506</v>
      </c>
      <c r="B63" s="73">
        <v>19.8</v>
      </c>
      <c r="C63" s="35">
        <v>130</v>
      </c>
      <c r="D63" s="36">
        <v>10</v>
      </c>
      <c r="E63" s="36">
        <v>14</v>
      </c>
      <c r="F63" s="36">
        <v>7</v>
      </c>
      <c r="G63" s="35">
        <v>2520</v>
      </c>
      <c r="H63" s="35" t="s">
        <v>491</v>
      </c>
      <c r="I63" s="35">
        <v>50</v>
      </c>
      <c r="J63" s="35">
        <v>82</v>
      </c>
      <c r="K63" s="35">
        <v>2220</v>
      </c>
      <c r="L63" s="35">
        <v>35.5</v>
      </c>
      <c r="M63" s="36">
        <v>91.899999999999991</v>
      </c>
      <c r="N63" s="36">
        <v>50.300000000000004</v>
      </c>
      <c r="O63" s="36">
        <v>45.8</v>
      </c>
      <c r="P63" s="35">
        <v>0.50800000000000001</v>
      </c>
      <c r="Q63" s="36">
        <v>25.67</v>
      </c>
      <c r="R63" s="35">
        <v>4011000</v>
      </c>
      <c r="S63" s="36">
        <v>42470</v>
      </c>
      <c r="T63" s="36">
        <v>3990</v>
      </c>
      <c r="U63" s="35">
        <v>6378</v>
      </c>
      <c r="V63" s="36">
        <v>50300</v>
      </c>
      <c r="W63" s="35">
        <v>1645</v>
      </c>
      <c r="X63" s="36">
        <v>25500</v>
      </c>
      <c r="Y63" s="35">
        <v>-2367000</v>
      </c>
      <c r="Z63" s="35">
        <v>3</v>
      </c>
      <c r="AA63" s="36">
        <v>3</v>
      </c>
      <c r="AB63" s="39"/>
    </row>
    <row r="64" spans="1:28" x14ac:dyDescent="0.45">
      <c r="A64" s="104" t="s">
        <v>507</v>
      </c>
      <c r="B64" s="71">
        <v>23.5</v>
      </c>
      <c r="C64" s="30">
        <v>130</v>
      </c>
      <c r="D64" s="31">
        <v>12</v>
      </c>
      <c r="E64" s="31">
        <v>14</v>
      </c>
      <c r="F64" s="31">
        <v>7</v>
      </c>
      <c r="G64" s="30">
        <v>3000</v>
      </c>
      <c r="H64" s="30" t="s">
        <v>491</v>
      </c>
      <c r="I64" s="30">
        <v>52</v>
      </c>
      <c r="J64" s="30">
        <v>82</v>
      </c>
      <c r="K64" s="30">
        <v>2640</v>
      </c>
      <c r="L64" s="30">
        <v>36.4</v>
      </c>
      <c r="M64" s="31">
        <v>91.899999999999991</v>
      </c>
      <c r="N64" s="31">
        <v>51.5</v>
      </c>
      <c r="O64" s="31">
        <v>46</v>
      </c>
      <c r="P64" s="30">
        <v>0.50800000000000001</v>
      </c>
      <c r="Q64" s="31">
        <v>21.59</v>
      </c>
      <c r="R64" s="30">
        <v>4722000</v>
      </c>
      <c r="S64" s="31">
        <v>50440</v>
      </c>
      <c r="T64" s="31">
        <v>3970</v>
      </c>
      <c r="U64" s="30">
        <v>7506</v>
      </c>
      <c r="V64" s="31">
        <v>50000</v>
      </c>
      <c r="W64" s="30">
        <v>1937</v>
      </c>
      <c r="X64" s="31">
        <v>25400</v>
      </c>
      <c r="Y64" s="30">
        <v>-2784000</v>
      </c>
      <c r="Z64" s="30">
        <v>1</v>
      </c>
      <c r="AA64" s="31">
        <v>3</v>
      </c>
      <c r="AB64" s="38"/>
    </row>
    <row r="65" spans="1:28" x14ac:dyDescent="0.45">
      <c r="A65" s="40" t="s">
        <v>508</v>
      </c>
      <c r="B65" s="73">
        <v>25.4</v>
      </c>
      <c r="C65" s="35">
        <v>130</v>
      </c>
      <c r="D65" s="36">
        <v>13</v>
      </c>
      <c r="E65" s="36">
        <v>14</v>
      </c>
      <c r="F65" s="36">
        <v>7</v>
      </c>
      <c r="G65" s="35">
        <v>3229.9999999999995</v>
      </c>
      <c r="H65" s="35" t="s">
        <v>491</v>
      </c>
      <c r="I65" s="35">
        <v>53</v>
      </c>
      <c r="J65" s="35">
        <v>82</v>
      </c>
      <c r="K65" s="35">
        <v>2840</v>
      </c>
      <c r="L65" s="35">
        <v>36.800000000000004</v>
      </c>
      <c r="M65" s="36">
        <v>91.899999999999991</v>
      </c>
      <c r="N65" s="36">
        <v>52</v>
      </c>
      <c r="O65" s="36">
        <v>46.2</v>
      </c>
      <c r="P65" s="35">
        <v>0.50800000000000001</v>
      </c>
      <c r="Q65" s="36">
        <v>20.02</v>
      </c>
      <c r="R65" s="35">
        <v>5065000</v>
      </c>
      <c r="S65" s="36">
        <v>54350</v>
      </c>
      <c r="T65" s="36">
        <v>3960</v>
      </c>
      <c r="U65" s="35">
        <v>8049</v>
      </c>
      <c r="V65" s="36">
        <v>49900</v>
      </c>
      <c r="W65" s="35">
        <v>2081</v>
      </c>
      <c r="X65" s="36">
        <v>25400</v>
      </c>
      <c r="Y65" s="35">
        <v>-2984000</v>
      </c>
      <c r="Z65" s="35">
        <v>1</v>
      </c>
      <c r="AA65" s="36">
        <v>2</v>
      </c>
      <c r="AB65" s="39"/>
    </row>
    <row r="66" spans="1:28" x14ac:dyDescent="0.45">
      <c r="A66" s="43" t="s">
        <v>509</v>
      </c>
      <c r="B66" s="71">
        <v>27.2</v>
      </c>
      <c r="C66" s="30">
        <v>130</v>
      </c>
      <c r="D66" s="31">
        <v>14</v>
      </c>
      <c r="E66" s="31">
        <v>14</v>
      </c>
      <c r="F66" s="31">
        <v>7</v>
      </c>
      <c r="G66" s="30">
        <v>3470.0000000000005</v>
      </c>
      <c r="H66" s="30" t="s">
        <v>491</v>
      </c>
      <c r="I66" s="30">
        <v>54</v>
      </c>
      <c r="J66" s="30">
        <v>82</v>
      </c>
      <c r="K66" s="30">
        <v>3050</v>
      </c>
      <c r="L66" s="30">
        <v>37.200000000000003</v>
      </c>
      <c r="M66" s="31">
        <v>91.899999999999991</v>
      </c>
      <c r="N66" s="31">
        <v>52.599999999999994</v>
      </c>
      <c r="O66" s="31">
        <v>46.3</v>
      </c>
      <c r="P66" s="30">
        <v>0.50800000000000001</v>
      </c>
      <c r="Q66" s="31">
        <v>18.68</v>
      </c>
      <c r="R66" s="30">
        <v>5401000</v>
      </c>
      <c r="S66" s="31">
        <v>58200</v>
      </c>
      <c r="T66" s="31">
        <v>3950</v>
      </c>
      <c r="U66" s="30">
        <v>8578</v>
      </c>
      <c r="V66" s="31">
        <v>49800.000000000007</v>
      </c>
      <c r="W66" s="30">
        <v>2223</v>
      </c>
      <c r="X66" s="31">
        <v>25299.999999999996</v>
      </c>
      <c r="Y66" s="30">
        <v>-3178000</v>
      </c>
      <c r="Z66" s="30">
        <v>1</v>
      </c>
      <c r="AA66" s="31">
        <v>1</v>
      </c>
      <c r="AB66" s="38"/>
    </row>
    <row r="67" spans="1:28" x14ac:dyDescent="0.45">
      <c r="A67" s="40" t="s">
        <v>510</v>
      </c>
      <c r="B67" s="73">
        <v>30.8</v>
      </c>
      <c r="C67" s="35">
        <v>130</v>
      </c>
      <c r="D67" s="36">
        <v>16</v>
      </c>
      <c r="E67" s="36">
        <v>14</v>
      </c>
      <c r="F67" s="36">
        <v>7</v>
      </c>
      <c r="G67" s="35">
        <v>3929.9999999999995</v>
      </c>
      <c r="H67" s="35" t="s">
        <v>491</v>
      </c>
      <c r="I67" s="35">
        <v>56</v>
      </c>
      <c r="J67" s="35">
        <v>82</v>
      </c>
      <c r="K67" s="35">
        <v>3450</v>
      </c>
      <c r="L67" s="35">
        <v>38</v>
      </c>
      <c r="M67" s="36">
        <v>91.899999999999991</v>
      </c>
      <c r="N67" s="36">
        <v>53.7</v>
      </c>
      <c r="O67" s="36">
        <v>46.6</v>
      </c>
      <c r="P67" s="35">
        <v>0.50800000000000001</v>
      </c>
      <c r="Q67" s="36">
        <v>16.489999999999998</v>
      </c>
      <c r="R67" s="35">
        <v>6050000</v>
      </c>
      <c r="S67" s="36">
        <v>65750</v>
      </c>
      <c r="T67" s="36">
        <v>3930</v>
      </c>
      <c r="U67" s="35">
        <v>9597</v>
      </c>
      <c r="V67" s="36">
        <v>49400.000000000007</v>
      </c>
      <c r="W67" s="35">
        <v>2503</v>
      </c>
      <c r="X67" s="36">
        <v>25299.999999999996</v>
      </c>
      <c r="Y67" s="35">
        <v>-3547000</v>
      </c>
      <c r="Z67" s="35">
        <v>1</v>
      </c>
      <c r="AA67" s="36">
        <v>1</v>
      </c>
      <c r="AB67" s="39"/>
    </row>
    <row r="68" spans="1:28" x14ac:dyDescent="0.45">
      <c r="A68" s="105" t="s">
        <v>511</v>
      </c>
      <c r="B68" s="73">
        <v>23</v>
      </c>
      <c r="C68" s="35">
        <v>150</v>
      </c>
      <c r="D68" s="36">
        <v>10</v>
      </c>
      <c r="E68" s="36">
        <v>16</v>
      </c>
      <c r="F68" s="36">
        <v>8</v>
      </c>
      <c r="G68" s="35">
        <v>2930</v>
      </c>
      <c r="H68" s="35" t="s">
        <v>491</v>
      </c>
      <c r="I68" s="35">
        <v>52</v>
      </c>
      <c r="J68" s="35">
        <v>102</v>
      </c>
      <c r="K68" s="35">
        <v>2630</v>
      </c>
      <c r="L68" s="35">
        <v>40.300000000000004</v>
      </c>
      <c r="M68" s="36">
        <v>106.1</v>
      </c>
      <c r="N68" s="36">
        <v>57.1</v>
      </c>
      <c r="O68" s="36">
        <v>52.800000000000004</v>
      </c>
      <c r="P68" s="35">
        <v>0.58599999999999997</v>
      </c>
      <c r="Q68" s="36">
        <v>25.51</v>
      </c>
      <c r="R68" s="35">
        <v>6240000</v>
      </c>
      <c r="S68" s="36">
        <v>56910</v>
      </c>
      <c r="T68" s="36">
        <v>4620</v>
      </c>
      <c r="U68" s="35">
        <v>9920</v>
      </c>
      <c r="V68" s="36">
        <v>58200</v>
      </c>
      <c r="W68" s="35">
        <v>2561</v>
      </c>
      <c r="X68" s="36">
        <v>29600</v>
      </c>
      <c r="Y68" s="35">
        <v>-3680000</v>
      </c>
      <c r="Z68" s="35">
        <v>3</v>
      </c>
      <c r="AA68" s="36">
        <v>4</v>
      </c>
      <c r="AB68" s="36">
        <v>4</v>
      </c>
    </row>
    <row r="69" spans="1:28" x14ac:dyDescent="0.45">
      <c r="A69" s="104" t="s">
        <v>512</v>
      </c>
      <c r="B69" s="71">
        <v>27.3</v>
      </c>
      <c r="C69" s="30">
        <v>150</v>
      </c>
      <c r="D69" s="31">
        <v>12</v>
      </c>
      <c r="E69" s="31">
        <v>16</v>
      </c>
      <c r="F69" s="31">
        <v>8</v>
      </c>
      <c r="G69" s="30">
        <v>3479.9999999999995</v>
      </c>
      <c r="H69" s="30" t="s">
        <v>491</v>
      </c>
      <c r="I69" s="30">
        <v>54</v>
      </c>
      <c r="J69" s="30">
        <v>102</v>
      </c>
      <c r="K69" s="30">
        <v>3120</v>
      </c>
      <c r="L69" s="30">
        <v>41.2</v>
      </c>
      <c r="M69" s="31">
        <v>106.1</v>
      </c>
      <c r="N69" s="31">
        <v>58.3</v>
      </c>
      <c r="O69" s="31">
        <v>52.9</v>
      </c>
      <c r="P69" s="30">
        <v>0.58599999999999997</v>
      </c>
      <c r="Q69" s="31">
        <v>21.44</v>
      </c>
      <c r="R69" s="30">
        <v>7369000</v>
      </c>
      <c r="S69" s="31">
        <v>67750</v>
      </c>
      <c r="T69" s="31">
        <v>4600</v>
      </c>
      <c r="U69" s="30">
        <v>11720</v>
      </c>
      <c r="V69" s="31">
        <v>58000</v>
      </c>
      <c r="W69" s="30">
        <v>3021</v>
      </c>
      <c r="X69" s="31">
        <v>29400</v>
      </c>
      <c r="Y69" s="30">
        <v>-4349000</v>
      </c>
      <c r="Z69" s="30">
        <v>3</v>
      </c>
      <c r="AA69" s="31">
        <v>3</v>
      </c>
      <c r="AB69" s="31">
        <v>3</v>
      </c>
    </row>
    <row r="70" spans="1:28" x14ac:dyDescent="0.45">
      <c r="A70" s="40" t="s">
        <v>513</v>
      </c>
      <c r="B70" s="73">
        <v>29.5</v>
      </c>
      <c r="C70" s="35">
        <v>150</v>
      </c>
      <c r="D70" s="36">
        <v>13</v>
      </c>
      <c r="E70" s="36">
        <v>16</v>
      </c>
      <c r="F70" s="36">
        <v>8</v>
      </c>
      <c r="G70" s="35">
        <v>3760</v>
      </c>
      <c r="H70" s="35" t="s">
        <v>491</v>
      </c>
      <c r="I70" s="35">
        <v>55</v>
      </c>
      <c r="J70" s="35">
        <v>102</v>
      </c>
      <c r="K70" s="35">
        <v>3370.0000000000005</v>
      </c>
      <c r="L70" s="35">
        <v>41.7</v>
      </c>
      <c r="M70" s="36">
        <v>106.1</v>
      </c>
      <c r="N70" s="36">
        <v>58.9</v>
      </c>
      <c r="O70" s="36">
        <v>53</v>
      </c>
      <c r="P70" s="35">
        <v>0.58599999999999997</v>
      </c>
      <c r="Q70" s="36">
        <v>19.87</v>
      </c>
      <c r="R70" s="35">
        <v>7917000</v>
      </c>
      <c r="S70" s="36">
        <v>73070</v>
      </c>
      <c r="T70" s="36">
        <v>4590</v>
      </c>
      <c r="U70" s="35">
        <v>12590</v>
      </c>
      <c r="V70" s="36">
        <v>57900</v>
      </c>
      <c r="W70" s="35">
        <v>3246</v>
      </c>
      <c r="X70" s="36">
        <v>29400</v>
      </c>
      <c r="Y70" s="35">
        <v>-4671000</v>
      </c>
      <c r="Z70" s="35">
        <v>2</v>
      </c>
      <c r="AA70" s="36">
        <v>3</v>
      </c>
      <c r="AB70" s="36">
        <v>3</v>
      </c>
    </row>
    <row r="71" spans="1:28" x14ac:dyDescent="0.45">
      <c r="A71" s="43" t="s">
        <v>514</v>
      </c>
      <c r="B71" s="71">
        <v>31.6</v>
      </c>
      <c r="C71" s="30">
        <v>150</v>
      </c>
      <c r="D71" s="31">
        <v>14</v>
      </c>
      <c r="E71" s="31">
        <v>16</v>
      </c>
      <c r="F71" s="31">
        <v>8</v>
      </c>
      <c r="G71" s="30">
        <v>4029.9999999999995</v>
      </c>
      <c r="H71" s="30" t="s">
        <v>491</v>
      </c>
      <c r="I71" s="30">
        <v>56</v>
      </c>
      <c r="J71" s="30">
        <v>102</v>
      </c>
      <c r="K71" s="30">
        <v>3610</v>
      </c>
      <c r="L71" s="30">
        <v>42.1</v>
      </c>
      <c r="M71" s="31">
        <v>106.1</v>
      </c>
      <c r="N71" s="31">
        <v>59.5</v>
      </c>
      <c r="O71" s="31">
        <v>53.2</v>
      </c>
      <c r="P71" s="30">
        <v>0.58599999999999997</v>
      </c>
      <c r="Q71" s="31">
        <v>18.53</v>
      </c>
      <c r="R71" s="30">
        <v>8454000</v>
      </c>
      <c r="S71" s="31">
        <v>78330</v>
      </c>
      <c r="T71" s="31">
        <v>4580</v>
      </c>
      <c r="U71" s="30">
        <v>13440</v>
      </c>
      <c r="V71" s="31">
        <v>57699.999999999993</v>
      </c>
      <c r="W71" s="30">
        <v>3469</v>
      </c>
      <c r="X71" s="31">
        <v>29300</v>
      </c>
      <c r="Y71" s="30">
        <v>-4985000</v>
      </c>
      <c r="Z71" s="30">
        <v>1</v>
      </c>
      <c r="AA71" s="31">
        <v>3</v>
      </c>
      <c r="AB71" s="31">
        <v>3</v>
      </c>
    </row>
    <row r="72" spans="1:28" x14ac:dyDescent="0.45">
      <c r="A72" s="105" t="s">
        <v>515</v>
      </c>
      <c r="B72" s="73">
        <v>33.799999999999997</v>
      </c>
      <c r="C72" s="35">
        <v>150</v>
      </c>
      <c r="D72" s="36">
        <v>15</v>
      </c>
      <c r="E72" s="36">
        <v>16</v>
      </c>
      <c r="F72" s="36">
        <v>8</v>
      </c>
      <c r="G72" s="35">
        <v>4300</v>
      </c>
      <c r="H72" s="35" t="s">
        <v>491</v>
      </c>
      <c r="I72" s="35">
        <v>57</v>
      </c>
      <c r="J72" s="35">
        <v>102</v>
      </c>
      <c r="K72" s="35">
        <v>3850</v>
      </c>
      <c r="L72" s="35">
        <v>42.5</v>
      </c>
      <c r="M72" s="36">
        <v>106.1</v>
      </c>
      <c r="N72" s="36">
        <v>60.099999999999994</v>
      </c>
      <c r="O72" s="36">
        <v>53.3</v>
      </c>
      <c r="P72" s="35">
        <v>0.58599999999999997</v>
      </c>
      <c r="Q72" s="36">
        <v>17.36</v>
      </c>
      <c r="R72" s="35">
        <v>8981000</v>
      </c>
      <c r="S72" s="36">
        <v>83520</v>
      </c>
      <c r="T72" s="36">
        <v>4570</v>
      </c>
      <c r="U72" s="35">
        <v>14270</v>
      </c>
      <c r="V72" s="36">
        <v>57600</v>
      </c>
      <c r="W72" s="35">
        <v>3690</v>
      </c>
      <c r="X72" s="36">
        <v>29300</v>
      </c>
      <c r="Y72" s="35">
        <v>-5291000</v>
      </c>
      <c r="Z72" s="35">
        <v>1</v>
      </c>
      <c r="AA72" s="36">
        <v>2</v>
      </c>
      <c r="AB72" s="36">
        <v>3</v>
      </c>
    </row>
    <row r="73" spans="1:28" x14ac:dyDescent="0.45">
      <c r="A73" s="43" t="s">
        <v>516</v>
      </c>
      <c r="B73" s="71">
        <v>35.9</v>
      </c>
      <c r="C73" s="30">
        <v>150</v>
      </c>
      <c r="D73" s="31">
        <v>16</v>
      </c>
      <c r="E73" s="31">
        <v>16</v>
      </c>
      <c r="F73" s="31">
        <v>8</v>
      </c>
      <c r="G73" s="30">
        <v>4570</v>
      </c>
      <c r="H73" s="30" t="s">
        <v>491</v>
      </c>
      <c r="I73" s="30">
        <v>58</v>
      </c>
      <c r="J73" s="30">
        <v>102</v>
      </c>
      <c r="K73" s="30">
        <v>4090</v>
      </c>
      <c r="L73" s="30">
        <v>42.9</v>
      </c>
      <c r="M73" s="31">
        <v>106.1</v>
      </c>
      <c r="N73" s="31">
        <v>60.599999999999994</v>
      </c>
      <c r="O73" s="31">
        <v>53.4</v>
      </c>
      <c r="P73" s="30">
        <v>0.58599999999999997</v>
      </c>
      <c r="Q73" s="31">
        <v>16.34</v>
      </c>
      <c r="R73" s="30">
        <v>9497000</v>
      </c>
      <c r="S73" s="31">
        <v>88650</v>
      </c>
      <c r="T73" s="31">
        <v>4560</v>
      </c>
      <c r="U73" s="30">
        <v>15090</v>
      </c>
      <c r="V73" s="31">
        <v>57400</v>
      </c>
      <c r="W73" s="30">
        <v>3908</v>
      </c>
      <c r="X73" s="31">
        <v>29200</v>
      </c>
      <c r="Y73" s="30">
        <v>-5589000</v>
      </c>
      <c r="Z73" s="30">
        <v>1</v>
      </c>
      <c r="AA73" s="31">
        <v>2</v>
      </c>
      <c r="AB73" s="31">
        <v>3</v>
      </c>
    </row>
    <row r="74" spans="1:28" x14ac:dyDescent="0.45">
      <c r="A74" s="40" t="s">
        <v>517</v>
      </c>
      <c r="B74" s="73">
        <v>40.1</v>
      </c>
      <c r="C74" s="35">
        <v>150</v>
      </c>
      <c r="D74" s="36">
        <v>18</v>
      </c>
      <c r="E74" s="36">
        <v>16</v>
      </c>
      <c r="F74" s="36">
        <v>8</v>
      </c>
      <c r="G74" s="35">
        <v>5100</v>
      </c>
      <c r="H74" s="35" t="s">
        <v>491</v>
      </c>
      <c r="I74" s="35">
        <v>61</v>
      </c>
      <c r="J74" s="35">
        <v>102</v>
      </c>
      <c r="K74" s="35">
        <v>4560</v>
      </c>
      <c r="L74" s="35">
        <v>43.7</v>
      </c>
      <c r="M74" s="36">
        <v>106.1</v>
      </c>
      <c r="N74" s="36">
        <v>61.7</v>
      </c>
      <c r="O74" s="36">
        <v>53.7</v>
      </c>
      <c r="P74" s="35">
        <v>0.58599999999999997</v>
      </c>
      <c r="Q74" s="36">
        <v>14.63</v>
      </c>
      <c r="R74" s="35">
        <v>10500000</v>
      </c>
      <c r="S74" s="36">
        <v>98740</v>
      </c>
      <c r="T74" s="36">
        <v>4540</v>
      </c>
      <c r="U74" s="35">
        <v>16660</v>
      </c>
      <c r="V74" s="36">
        <v>57100</v>
      </c>
      <c r="W74" s="35">
        <v>4338</v>
      </c>
      <c r="X74" s="36">
        <v>29200</v>
      </c>
      <c r="Y74" s="35">
        <v>-6161000</v>
      </c>
      <c r="Z74" s="35">
        <v>1</v>
      </c>
      <c r="AA74" s="36">
        <v>1</v>
      </c>
      <c r="AB74" s="36">
        <v>2</v>
      </c>
    </row>
    <row r="75" spans="1:28" x14ac:dyDescent="0.45">
      <c r="A75" s="43" t="s">
        <v>518</v>
      </c>
      <c r="B75" s="71">
        <v>44.2</v>
      </c>
      <c r="C75" s="30">
        <v>150</v>
      </c>
      <c r="D75" s="31">
        <v>20</v>
      </c>
      <c r="E75" s="31">
        <v>16</v>
      </c>
      <c r="F75" s="31">
        <v>8</v>
      </c>
      <c r="G75" s="30">
        <v>5630</v>
      </c>
      <c r="H75" s="30" t="s">
        <v>491</v>
      </c>
      <c r="I75" s="30">
        <v>63</v>
      </c>
      <c r="J75" s="30">
        <v>102</v>
      </c>
      <c r="K75" s="30">
        <v>5030</v>
      </c>
      <c r="L75" s="30">
        <v>44.400000000000006</v>
      </c>
      <c r="M75" s="31">
        <v>106.1</v>
      </c>
      <c r="N75" s="31">
        <v>62.800000000000004</v>
      </c>
      <c r="O75" s="31">
        <v>54.1</v>
      </c>
      <c r="P75" s="30">
        <v>0.58599999999999997</v>
      </c>
      <c r="Q75" s="31">
        <v>13.27</v>
      </c>
      <c r="R75" s="30">
        <v>11460000</v>
      </c>
      <c r="S75" s="31">
        <v>108600</v>
      </c>
      <c r="T75" s="31">
        <v>4510</v>
      </c>
      <c r="U75" s="30">
        <v>18170</v>
      </c>
      <c r="V75" s="31">
        <v>56800</v>
      </c>
      <c r="W75" s="30">
        <v>4762</v>
      </c>
      <c r="X75" s="31">
        <v>29100</v>
      </c>
      <c r="Y75" s="30">
        <v>-6702000</v>
      </c>
      <c r="Z75" s="30">
        <v>1</v>
      </c>
      <c r="AA75" s="31">
        <v>1</v>
      </c>
      <c r="AB75" s="31">
        <v>1</v>
      </c>
    </row>
    <row r="76" spans="1:28" x14ac:dyDescent="0.45">
      <c r="A76" s="43" t="s">
        <v>519</v>
      </c>
      <c r="B76" s="71">
        <v>33.9</v>
      </c>
      <c r="C76" s="30">
        <v>160</v>
      </c>
      <c r="D76" s="31">
        <v>14</v>
      </c>
      <c r="E76" s="31">
        <v>17</v>
      </c>
      <c r="F76" s="31">
        <v>8.5</v>
      </c>
      <c r="G76" s="30">
        <v>4320</v>
      </c>
      <c r="H76" s="30" t="s">
        <v>491</v>
      </c>
      <c r="I76" s="30">
        <v>57</v>
      </c>
      <c r="J76" s="30">
        <v>111</v>
      </c>
      <c r="K76" s="30">
        <v>3900</v>
      </c>
      <c r="L76" s="30">
        <v>44.5</v>
      </c>
      <c r="M76" s="31">
        <v>113.10000000000001</v>
      </c>
      <c r="N76" s="31">
        <v>62.9</v>
      </c>
      <c r="O76" s="31">
        <v>56.6</v>
      </c>
      <c r="P76" s="30">
        <v>0.625</v>
      </c>
      <c r="Q76" s="31">
        <v>18.46</v>
      </c>
      <c r="R76" s="30">
        <v>10340000</v>
      </c>
      <c r="S76" s="31">
        <v>89500</v>
      </c>
      <c r="T76" s="31">
        <v>4890</v>
      </c>
      <c r="U76" s="30">
        <v>16440</v>
      </c>
      <c r="V76" s="31">
        <v>61700</v>
      </c>
      <c r="W76" s="30">
        <v>4239</v>
      </c>
      <c r="X76" s="31">
        <v>31300</v>
      </c>
      <c r="Y76" s="30">
        <v>-6099000</v>
      </c>
      <c r="Z76" s="30">
        <v>2</v>
      </c>
      <c r="AA76" s="31">
        <v>3</v>
      </c>
      <c r="AB76" s="38"/>
    </row>
    <row r="77" spans="1:28" x14ac:dyDescent="0.45">
      <c r="A77" s="105" t="s">
        <v>520</v>
      </c>
      <c r="B77" s="73">
        <v>36.200000000000003</v>
      </c>
      <c r="C77" s="35">
        <v>160</v>
      </c>
      <c r="D77" s="36">
        <v>15</v>
      </c>
      <c r="E77" s="36">
        <v>17</v>
      </c>
      <c r="F77" s="36">
        <v>8.5</v>
      </c>
      <c r="G77" s="35">
        <v>4610</v>
      </c>
      <c r="H77" s="35" t="s">
        <v>491</v>
      </c>
      <c r="I77" s="35">
        <v>58</v>
      </c>
      <c r="J77" s="35">
        <v>111</v>
      </c>
      <c r="K77" s="35">
        <v>4160</v>
      </c>
      <c r="L77" s="35">
        <v>44.900000000000006</v>
      </c>
      <c r="M77" s="36">
        <v>113.10000000000001</v>
      </c>
      <c r="N77" s="36">
        <v>63.5</v>
      </c>
      <c r="O77" s="36">
        <v>56.7</v>
      </c>
      <c r="P77" s="35">
        <v>0.625</v>
      </c>
      <c r="Q77" s="36">
        <v>17.3</v>
      </c>
      <c r="R77" s="35">
        <v>10990000</v>
      </c>
      <c r="S77" s="36">
        <v>95470</v>
      </c>
      <c r="T77" s="36">
        <v>4880</v>
      </c>
      <c r="U77" s="35">
        <v>17470</v>
      </c>
      <c r="V77" s="36">
        <v>61600</v>
      </c>
      <c r="W77" s="35">
        <v>4509</v>
      </c>
      <c r="X77" s="36">
        <v>31300</v>
      </c>
      <c r="Y77" s="35">
        <v>-6479000</v>
      </c>
      <c r="Z77" s="35">
        <v>1</v>
      </c>
      <c r="AA77" s="36">
        <v>3</v>
      </c>
      <c r="AB77" s="39"/>
    </row>
    <row r="78" spans="1:28" x14ac:dyDescent="0.45">
      <c r="A78" s="43" t="s">
        <v>521</v>
      </c>
      <c r="B78" s="71">
        <v>38.4</v>
      </c>
      <c r="C78" s="30">
        <v>160</v>
      </c>
      <c r="D78" s="31">
        <v>16</v>
      </c>
      <c r="E78" s="31">
        <v>17</v>
      </c>
      <c r="F78" s="31">
        <v>8.5</v>
      </c>
      <c r="G78" s="30">
        <v>4900</v>
      </c>
      <c r="H78" s="30" t="s">
        <v>491</v>
      </c>
      <c r="I78" s="30">
        <v>60</v>
      </c>
      <c r="J78" s="30">
        <v>111</v>
      </c>
      <c r="K78" s="30">
        <v>4420</v>
      </c>
      <c r="L78" s="30">
        <v>45.300000000000004</v>
      </c>
      <c r="M78" s="31">
        <v>113.10000000000001</v>
      </c>
      <c r="N78" s="31">
        <v>64.099999999999994</v>
      </c>
      <c r="O78" s="31">
        <v>56.900000000000006</v>
      </c>
      <c r="P78" s="30">
        <v>0.625</v>
      </c>
      <c r="Q78" s="31">
        <v>16.28</v>
      </c>
      <c r="R78" s="30">
        <v>11630000</v>
      </c>
      <c r="S78" s="31">
        <v>101400</v>
      </c>
      <c r="T78" s="31">
        <v>4870</v>
      </c>
      <c r="U78" s="30">
        <v>18480</v>
      </c>
      <c r="V78" s="31">
        <v>61400</v>
      </c>
      <c r="W78" s="30">
        <v>4777</v>
      </c>
      <c r="X78" s="31">
        <v>31200</v>
      </c>
      <c r="Y78" s="30">
        <v>-6850000</v>
      </c>
      <c r="Z78" s="30">
        <v>1</v>
      </c>
      <c r="AA78" s="31">
        <v>2</v>
      </c>
      <c r="AB78" s="38"/>
    </row>
    <row r="79" spans="1:28" x14ac:dyDescent="0.45">
      <c r="A79" s="75" t="s">
        <v>522</v>
      </c>
      <c r="B79" s="80">
        <v>40.700000000000003</v>
      </c>
      <c r="C79" s="77">
        <v>160</v>
      </c>
      <c r="D79" s="76">
        <v>17</v>
      </c>
      <c r="E79" s="76">
        <v>17</v>
      </c>
      <c r="F79" s="76">
        <v>8.5</v>
      </c>
      <c r="G79" s="77">
        <v>5180</v>
      </c>
      <c r="H79" s="77" t="s">
        <v>491</v>
      </c>
      <c r="I79" s="77">
        <v>61</v>
      </c>
      <c r="J79" s="77">
        <v>111</v>
      </c>
      <c r="K79" s="77">
        <v>4670</v>
      </c>
      <c r="L79" s="77">
        <v>45.7</v>
      </c>
      <c r="M79" s="76">
        <v>113.10000000000001</v>
      </c>
      <c r="N79" s="76">
        <v>64.599999999999994</v>
      </c>
      <c r="O79" s="76">
        <v>57</v>
      </c>
      <c r="P79" s="77">
        <v>0.625</v>
      </c>
      <c r="Q79" s="76">
        <v>15.37</v>
      </c>
      <c r="R79" s="77">
        <v>12250000</v>
      </c>
      <c r="S79" s="76">
        <v>107200</v>
      </c>
      <c r="T79" s="76">
        <v>4860</v>
      </c>
      <c r="U79" s="77">
        <v>19470</v>
      </c>
      <c r="V79" s="76">
        <v>61300</v>
      </c>
      <c r="W79" s="77">
        <v>5042</v>
      </c>
      <c r="X79" s="76">
        <v>31200</v>
      </c>
      <c r="Y79" s="77">
        <v>-7212000</v>
      </c>
      <c r="Z79" s="77">
        <v>1</v>
      </c>
      <c r="AA79" s="76">
        <v>2</v>
      </c>
      <c r="AB79" s="119"/>
    </row>
    <row r="80" spans="1:28" x14ac:dyDescent="0.45">
      <c r="A80" s="29" t="s">
        <v>523</v>
      </c>
      <c r="B80" s="69">
        <v>35.700000000000003</v>
      </c>
      <c r="C80" s="26">
        <v>180</v>
      </c>
      <c r="D80" s="27">
        <v>13</v>
      </c>
      <c r="E80" s="27">
        <v>18</v>
      </c>
      <c r="F80" s="27">
        <v>9</v>
      </c>
      <c r="G80" s="26">
        <v>4550</v>
      </c>
      <c r="H80" s="26" t="s">
        <v>491</v>
      </c>
      <c r="I80" s="26">
        <v>57</v>
      </c>
      <c r="J80" s="26">
        <v>131</v>
      </c>
      <c r="K80" s="26">
        <v>4160</v>
      </c>
      <c r="L80" s="26">
        <v>49</v>
      </c>
      <c r="M80" s="27">
        <v>127.30000000000001</v>
      </c>
      <c r="N80" s="27">
        <v>69.3</v>
      </c>
      <c r="O80" s="27">
        <v>63.5</v>
      </c>
      <c r="P80" s="26">
        <v>0.70499999999999996</v>
      </c>
      <c r="Q80" s="27">
        <v>19.739999999999998</v>
      </c>
      <c r="R80" s="26">
        <v>13960000</v>
      </c>
      <c r="S80" s="27">
        <v>106500</v>
      </c>
      <c r="T80" s="27">
        <v>5540</v>
      </c>
      <c r="U80" s="26">
        <v>22200</v>
      </c>
      <c r="V80" s="27">
        <v>69900</v>
      </c>
      <c r="W80" s="26">
        <v>5717</v>
      </c>
      <c r="X80" s="27">
        <v>35500</v>
      </c>
      <c r="Y80" s="26">
        <v>-8244000</v>
      </c>
      <c r="Z80" s="26">
        <v>3</v>
      </c>
      <c r="AA80" s="27">
        <v>3</v>
      </c>
      <c r="AB80" s="27">
        <v>4</v>
      </c>
    </row>
    <row r="81" spans="1:28" x14ac:dyDescent="0.45">
      <c r="A81" s="43" t="s">
        <v>524</v>
      </c>
      <c r="B81" s="71">
        <v>38.299999999999997</v>
      </c>
      <c r="C81" s="30">
        <v>180</v>
      </c>
      <c r="D81" s="31">
        <v>14</v>
      </c>
      <c r="E81" s="31">
        <v>18</v>
      </c>
      <c r="F81" s="31">
        <v>9</v>
      </c>
      <c r="G81" s="30">
        <v>4880</v>
      </c>
      <c r="H81" s="30" t="s">
        <v>491</v>
      </c>
      <c r="I81" s="30">
        <v>58</v>
      </c>
      <c r="J81" s="30">
        <v>131</v>
      </c>
      <c r="K81" s="30">
        <v>4460</v>
      </c>
      <c r="L81" s="30">
        <v>49.400000000000006</v>
      </c>
      <c r="M81" s="31">
        <v>127.30000000000001</v>
      </c>
      <c r="N81" s="31">
        <v>69.900000000000006</v>
      </c>
      <c r="O81" s="31">
        <v>63.6</v>
      </c>
      <c r="P81" s="30">
        <v>0.70499999999999996</v>
      </c>
      <c r="Q81" s="31">
        <v>18.399999999999999</v>
      </c>
      <c r="R81" s="30">
        <v>14930000</v>
      </c>
      <c r="S81" s="31">
        <v>114300</v>
      </c>
      <c r="T81" s="31">
        <v>5530</v>
      </c>
      <c r="U81" s="30">
        <v>23750</v>
      </c>
      <c r="V81" s="31">
        <v>69800</v>
      </c>
      <c r="W81" s="30">
        <v>6114</v>
      </c>
      <c r="X81" s="31">
        <v>35400</v>
      </c>
      <c r="Y81" s="30">
        <v>-8818000</v>
      </c>
      <c r="Z81" s="30">
        <v>3</v>
      </c>
      <c r="AA81" s="31">
        <v>3</v>
      </c>
      <c r="AB81" s="31">
        <v>3</v>
      </c>
    </row>
    <row r="82" spans="1:28" x14ac:dyDescent="0.45">
      <c r="A82" s="40" t="s">
        <v>525</v>
      </c>
      <c r="B82" s="73">
        <v>40.9</v>
      </c>
      <c r="C82" s="35">
        <v>180</v>
      </c>
      <c r="D82" s="36">
        <v>15</v>
      </c>
      <c r="E82" s="36">
        <v>18</v>
      </c>
      <c r="F82" s="36">
        <v>9</v>
      </c>
      <c r="G82" s="35">
        <v>5210</v>
      </c>
      <c r="H82" s="35" t="s">
        <v>491</v>
      </c>
      <c r="I82" s="35">
        <v>59</v>
      </c>
      <c r="J82" s="35">
        <v>131</v>
      </c>
      <c r="K82" s="35">
        <v>4760</v>
      </c>
      <c r="L82" s="35">
        <v>49.800000000000004</v>
      </c>
      <c r="M82" s="36">
        <v>127.30000000000001</v>
      </c>
      <c r="N82" s="36">
        <v>70.5</v>
      </c>
      <c r="O82" s="36">
        <v>63.7</v>
      </c>
      <c r="P82" s="35">
        <v>0.70499999999999996</v>
      </c>
      <c r="Q82" s="36">
        <v>17.23</v>
      </c>
      <c r="R82" s="35">
        <v>15890000</v>
      </c>
      <c r="S82" s="36">
        <v>122000</v>
      </c>
      <c r="T82" s="36">
        <v>5520</v>
      </c>
      <c r="U82" s="35">
        <v>25270</v>
      </c>
      <c r="V82" s="36">
        <v>69600</v>
      </c>
      <c r="W82" s="35">
        <v>6506</v>
      </c>
      <c r="X82" s="36">
        <v>35300</v>
      </c>
      <c r="Y82" s="35">
        <v>-9380000</v>
      </c>
      <c r="Z82" s="35">
        <v>2</v>
      </c>
      <c r="AA82" s="36">
        <v>3</v>
      </c>
      <c r="AB82" s="36">
        <v>3</v>
      </c>
    </row>
    <row r="83" spans="1:28" x14ac:dyDescent="0.45">
      <c r="A83" s="104" t="s">
        <v>526</v>
      </c>
      <c r="B83" s="71">
        <v>43.5</v>
      </c>
      <c r="C83" s="30">
        <v>180</v>
      </c>
      <c r="D83" s="31">
        <v>16</v>
      </c>
      <c r="E83" s="31">
        <v>18</v>
      </c>
      <c r="F83" s="31">
        <v>9</v>
      </c>
      <c r="G83" s="30">
        <v>5540</v>
      </c>
      <c r="H83" s="30" t="s">
        <v>491</v>
      </c>
      <c r="I83" s="30">
        <v>61</v>
      </c>
      <c r="J83" s="30">
        <v>131</v>
      </c>
      <c r="K83" s="30">
        <v>4760</v>
      </c>
      <c r="L83" s="30">
        <v>50.199999999999996</v>
      </c>
      <c r="M83" s="31">
        <v>127.30000000000001</v>
      </c>
      <c r="N83" s="31">
        <v>71</v>
      </c>
      <c r="O83" s="31">
        <v>63.8</v>
      </c>
      <c r="P83" s="30">
        <v>0.70499999999999996</v>
      </c>
      <c r="Q83" s="31">
        <v>16.2</v>
      </c>
      <c r="R83" s="30">
        <v>16820000</v>
      </c>
      <c r="S83" s="31">
        <v>129699.99999999999</v>
      </c>
      <c r="T83" s="31">
        <v>5510</v>
      </c>
      <c r="U83" s="30">
        <v>26750</v>
      </c>
      <c r="V83" s="31">
        <v>69500</v>
      </c>
      <c r="W83" s="30">
        <v>6894</v>
      </c>
      <c r="X83" s="31">
        <v>35300</v>
      </c>
      <c r="Y83" s="30">
        <v>-9930000</v>
      </c>
      <c r="Z83" s="30">
        <v>2</v>
      </c>
      <c r="AA83" s="31">
        <v>3</v>
      </c>
      <c r="AB83" s="31">
        <v>3</v>
      </c>
    </row>
    <row r="84" spans="1:28" x14ac:dyDescent="0.45">
      <c r="A84" s="40" t="s">
        <v>527</v>
      </c>
      <c r="B84" s="73">
        <v>46</v>
      </c>
      <c r="C84" s="35">
        <v>180</v>
      </c>
      <c r="D84" s="36">
        <v>17</v>
      </c>
      <c r="E84" s="36">
        <v>18</v>
      </c>
      <c r="F84" s="36">
        <v>9</v>
      </c>
      <c r="G84" s="35">
        <v>5870</v>
      </c>
      <c r="H84" s="35" t="s">
        <v>491</v>
      </c>
      <c r="I84" s="35">
        <v>62</v>
      </c>
      <c r="J84" s="35">
        <v>131</v>
      </c>
      <c r="K84" s="35">
        <v>5060</v>
      </c>
      <c r="L84" s="35">
        <v>50.599999999999994</v>
      </c>
      <c r="M84" s="36">
        <v>127.30000000000001</v>
      </c>
      <c r="N84" s="36">
        <v>71.599999999999994</v>
      </c>
      <c r="O84" s="36">
        <v>64</v>
      </c>
      <c r="P84" s="35">
        <v>0.70499999999999996</v>
      </c>
      <c r="Q84" s="36">
        <v>15.3</v>
      </c>
      <c r="R84" s="35">
        <v>17750000</v>
      </c>
      <c r="S84" s="36">
        <v>137200</v>
      </c>
      <c r="T84" s="36">
        <v>5500</v>
      </c>
      <c r="U84" s="35">
        <v>28220</v>
      </c>
      <c r="V84" s="36">
        <v>69400</v>
      </c>
      <c r="W84" s="35">
        <v>7279</v>
      </c>
      <c r="X84" s="36">
        <v>35200</v>
      </c>
      <c r="Y84" s="35">
        <v>-10470000</v>
      </c>
      <c r="Z84" s="35">
        <v>1</v>
      </c>
      <c r="AA84" s="36">
        <v>3</v>
      </c>
      <c r="AB84" s="36">
        <v>3</v>
      </c>
    </row>
    <row r="85" spans="1:28" x14ac:dyDescent="0.45">
      <c r="A85" s="104" t="s">
        <v>528</v>
      </c>
      <c r="B85" s="71">
        <v>48.6</v>
      </c>
      <c r="C85" s="30">
        <v>180</v>
      </c>
      <c r="D85" s="31">
        <v>18</v>
      </c>
      <c r="E85" s="31">
        <v>18</v>
      </c>
      <c r="F85" s="31">
        <v>9</v>
      </c>
      <c r="G85" s="30">
        <v>6190</v>
      </c>
      <c r="H85" s="30" t="s">
        <v>491</v>
      </c>
      <c r="I85" s="30">
        <v>63</v>
      </c>
      <c r="J85" s="30">
        <v>131</v>
      </c>
      <c r="K85" s="30">
        <v>5360</v>
      </c>
      <c r="L85" s="30">
        <v>51</v>
      </c>
      <c r="M85" s="31">
        <v>127.30000000000001</v>
      </c>
      <c r="N85" s="31">
        <v>72.2</v>
      </c>
      <c r="O85" s="31">
        <v>64.099999999999994</v>
      </c>
      <c r="P85" s="30">
        <v>0.70499999999999996</v>
      </c>
      <c r="Q85" s="31">
        <v>14.5</v>
      </c>
      <c r="R85" s="30">
        <v>18660000</v>
      </c>
      <c r="S85" s="31">
        <v>144700</v>
      </c>
      <c r="T85" s="31">
        <v>5490</v>
      </c>
      <c r="U85" s="30">
        <v>29650</v>
      </c>
      <c r="V85" s="31">
        <v>69200</v>
      </c>
      <c r="W85" s="30">
        <v>7660</v>
      </c>
      <c r="X85" s="31">
        <v>35200</v>
      </c>
      <c r="Y85" s="30">
        <v>-11000000</v>
      </c>
      <c r="Z85" s="30">
        <v>1</v>
      </c>
      <c r="AA85" s="31">
        <v>2</v>
      </c>
      <c r="AB85" s="31">
        <v>3</v>
      </c>
    </row>
    <row r="86" spans="1:28" x14ac:dyDescent="0.45">
      <c r="A86" s="40" t="s">
        <v>529</v>
      </c>
      <c r="B86" s="73">
        <v>51.1</v>
      </c>
      <c r="C86" s="35">
        <v>180</v>
      </c>
      <c r="D86" s="36">
        <v>19</v>
      </c>
      <c r="E86" s="36">
        <v>18</v>
      </c>
      <c r="F86" s="36">
        <v>9</v>
      </c>
      <c r="G86" s="35">
        <v>6509.9999999999991</v>
      </c>
      <c r="H86" s="35" t="s">
        <v>491</v>
      </c>
      <c r="I86" s="35">
        <v>64</v>
      </c>
      <c r="J86" s="35">
        <v>131</v>
      </c>
      <c r="K86" s="35">
        <v>5650</v>
      </c>
      <c r="L86" s="35">
        <v>51.4</v>
      </c>
      <c r="M86" s="36">
        <v>127.30000000000001</v>
      </c>
      <c r="N86" s="36">
        <v>72.699999999999989</v>
      </c>
      <c r="O86" s="36">
        <v>64.2</v>
      </c>
      <c r="P86" s="35">
        <v>0.70499999999999996</v>
      </c>
      <c r="Q86" s="36">
        <v>13.78</v>
      </c>
      <c r="R86" s="35">
        <v>19550000</v>
      </c>
      <c r="S86" s="36">
        <v>152100</v>
      </c>
      <c r="T86" s="36">
        <v>5480</v>
      </c>
      <c r="U86" s="35">
        <v>31060</v>
      </c>
      <c r="V86" s="36">
        <v>69100</v>
      </c>
      <c r="W86" s="35">
        <v>8038</v>
      </c>
      <c r="X86" s="36">
        <v>35100</v>
      </c>
      <c r="Y86" s="35">
        <v>-11510000</v>
      </c>
      <c r="Z86" s="35">
        <v>1</v>
      </c>
      <c r="AA86" s="36">
        <v>2</v>
      </c>
      <c r="AB86" s="36">
        <v>3</v>
      </c>
    </row>
    <row r="87" spans="1:28" x14ac:dyDescent="0.45">
      <c r="A87" s="43" t="s">
        <v>530</v>
      </c>
      <c r="B87" s="71">
        <v>53.7</v>
      </c>
      <c r="C87" s="30">
        <v>180</v>
      </c>
      <c r="D87" s="31">
        <v>20</v>
      </c>
      <c r="E87" s="31">
        <v>18</v>
      </c>
      <c r="F87" s="31">
        <v>9</v>
      </c>
      <c r="G87" s="30">
        <v>6830</v>
      </c>
      <c r="H87" s="30" t="s">
        <v>491</v>
      </c>
      <c r="I87" s="30">
        <v>65</v>
      </c>
      <c r="J87" s="30">
        <v>131</v>
      </c>
      <c r="K87" s="30">
        <v>6230</v>
      </c>
      <c r="L87" s="30">
        <v>51.8</v>
      </c>
      <c r="M87" s="31">
        <v>127.30000000000001</v>
      </c>
      <c r="N87" s="31">
        <v>73.3</v>
      </c>
      <c r="O87" s="31">
        <v>64.400000000000006</v>
      </c>
      <c r="P87" s="30">
        <v>0.70499999999999996</v>
      </c>
      <c r="Q87" s="31">
        <v>13.13</v>
      </c>
      <c r="R87" s="30">
        <v>20430000</v>
      </c>
      <c r="S87" s="31">
        <v>159400</v>
      </c>
      <c r="T87" s="31">
        <v>5470</v>
      </c>
      <c r="U87" s="30">
        <v>32440</v>
      </c>
      <c r="V87" s="31">
        <v>68900</v>
      </c>
      <c r="W87" s="30">
        <v>8413</v>
      </c>
      <c r="X87" s="31">
        <v>35100</v>
      </c>
      <c r="Y87" s="30">
        <v>-12020000</v>
      </c>
      <c r="Z87" s="30">
        <v>1</v>
      </c>
      <c r="AA87" s="31">
        <v>1</v>
      </c>
      <c r="AB87" s="31">
        <v>2</v>
      </c>
    </row>
    <row r="88" spans="1:28" x14ac:dyDescent="0.45">
      <c r="A88" s="43" t="s">
        <v>531</v>
      </c>
      <c r="B88" s="71">
        <v>45.6</v>
      </c>
      <c r="C88" s="30">
        <v>200</v>
      </c>
      <c r="D88" s="31">
        <v>15</v>
      </c>
      <c r="E88" s="31">
        <v>18</v>
      </c>
      <c r="F88" s="31">
        <v>9</v>
      </c>
      <c r="G88" s="30">
        <v>5810</v>
      </c>
      <c r="H88" s="30" t="s">
        <v>491</v>
      </c>
      <c r="I88" s="30">
        <v>59</v>
      </c>
      <c r="J88" s="30">
        <v>151</v>
      </c>
      <c r="K88" s="30">
        <v>5360</v>
      </c>
      <c r="L88" s="30">
        <v>54.800000000000004</v>
      </c>
      <c r="M88" s="31">
        <v>141.4</v>
      </c>
      <c r="N88" s="31">
        <v>77.5</v>
      </c>
      <c r="O88" s="31">
        <v>70.8</v>
      </c>
      <c r="P88" s="30">
        <v>0.78500000000000003</v>
      </c>
      <c r="Q88" s="31">
        <v>17.2</v>
      </c>
      <c r="R88" s="30">
        <v>22090000</v>
      </c>
      <c r="S88" s="31">
        <v>152200</v>
      </c>
      <c r="T88" s="31">
        <v>6170</v>
      </c>
      <c r="U88" s="30">
        <v>35160</v>
      </c>
      <c r="V88" s="31">
        <v>77800</v>
      </c>
      <c r="W88" s="30">
        <v>9030</v>
      </c>
      <c r="X88" s="31">
        <v>39400</v>
      </c>
      <c r="Y88" s="30">
        <v>-13060000</v>
      </c>
      <c r="Z88" s="30">
        <v>3</v>
      </c>
      <c r="AA88" s="31">
        <v>3</v>
      </c>
      <c r="AB88" s="31">
        <v>4</v>
      </c>
    </row>
    <row r="89" spans="1:28" x14ac:dyDescent="0.45">
      <c r="A89" s="105" t="s">
        <v>532</v>
      </c>
      <c r="B89" s="73">
        <v>48.5</v>
      </c>
      <c r="C89" s="35">
        <v>200</v>
      </c>
      <c r="D89" s="36">
        <v>16</v>
      </c>
      <c r="E89" s="36">
        <v>18</v>
      </c>
      <c r="F89" s="36">
        <v>9</v>
      </c>
      <c r="G89" s="35">
        <v>6180</v>
      </c>
      <c r="H89" s="35" t="s">
        <v>491</v>
      </c>
      <c r="I89" s="35">
        <v>61</v>
      </c>
      <c r="J89" s="35">
        <v>151</v>
      </c>
      <c r="K89" s="35">
        <v>5700</v>
      </c>
      <c r="L89" s="35">
        <v>55.199999999999996</v>
      </c>
      <c r="M89" s="36">
        <v>141.4</v>
      </c>
      <c r="N89" s="36">
        <v>78.099999999999994</v>
      </c>
      <c r="O89" s="36">
        <v>70.900000000000006</v>
      </c>
      <c r="P89" s="35">
        <v>0.78500000000000003</v>
      </c>
      <c r="Q89" s="36">
        <v>16.18</v>
      </c>
      <c r="R89" s="35">
        <v>23410000</v>
      </c>
      <c r="S89" s="36">
        <v>161700</v>
      </c>
      <c r="T89" s="36">
        <v>6160</v>
      </c>
      <c r="U89" s="35">
        <v>37250</v>
      </c>
      <c r="V89" s="36">
        <v>77600</v>
      </c>
      <c r="W89" s="35">
        <v>9572</v>
      </c>
      <c r="X89" s="36">
        <v>39400</v>
      </c>
      <c r="Y89" s="35">
        <v>-13840000</v>
      </c>
      <c r="Z89" s="35">
        <v>3</v>
      </c>
      <c r="AA89" s="36">
        <v>3</v>
      </c>
      <c r="AB89" s="36">
        <v>3</v>
      </c>
    </row>
    <row r="90" spans="1:28" x14ac:dyDescent="0.45">
      <c r="A90" s="43" t="s">
        <v>533</v>
      </c>
      <c r="B90" s="71">
        <v>51.4</v>
      </c>
      <c r="C90" s="30">
        <v>200</v>
      </c>
      <c r="D90" s="31">
        <v>17</v>
      </c>
      <c r="E90" s="31">
        <v>18</v>
      </c>
      <c r="F90" s="31">
        <v>9</v>
      </c>
      <c r="G90" s="30">
        <v>6550</v>
      </c>
      <c r="H90" s="30" t="s">
        <v>491</v>
      </c>
      <c r="I90" s="30">
        <v>62</v>
      </c>
      <c r="J90" s="30">
        <v>151</v>
      </c>
      <c r="K90" s="30">
        <v>6040</v>
      </c>
      <c r="L90" s="30">
        <v>55.599999999999994</v>
      </c>
      <c r="M90" s="31">
        <v>141.4</v>
      </c>
      <c r="N90" s="31">
        <v>78.7</v>
      </c>
      <c r="O90" s="31">
        <v>71</v>
      </c>
      <c r="P90" s="30">
        <v>0.78500000000000003</v>
      </c>
      <c r="Q90" s="31">
        <v>15.27</v>
      </c>
      <c r="R90" s="30">
        <v>24720000</v>
      </c>
      <c r="S90" s="31">
        <v>171200</v>
      </c>
      <c r="T90" s="31">
        <v>6140</v>
      </c>
      <c r="U90" s="30">
        <v>39320</v>
      </c>
      <c r="V90" s="31">
        <v>77500</v>
      </c>
      <c r="W90" s="30">
        <v>10110</v>
      </c>
      <c r="X90" s="31">
        <v>39300</v>
      </c>
      <c r="Y90" s="30">
        <v>-14610000</v>
      </c>
      <c r="Z90" s="30">
        <v>2</v>
      </c>
      <c r="AA90" s="31">
        <v>3</v>
      </c>
      <c r="AB90" s="31">
        <v>3</v>
      </c>
    </row>
    <row r="91" spans="1:28" x14ac:dyDescent="0.45">
      <c r="A91" s="105" t="s">
        <v>534</v>
      </c>
      <c r="B91" s="73">
        <v>54.2</v>
      </c>
      <c r="C91" s="35">
        <v>200</v>
      </c>
      <c r="D91" s="36">
        <v>18</v>
      </c>
      <c r="E91" s="36">
        <v>18</v>
      </c>
      <c r="F91" s="36">
        <v>9</v>
      </c>
      <c r="G91" s="35">
        <v>6909.9999999999991</v>
      </c>
      <c r="H91" s="35" t="s">
        <v>491</v>
      </c>
      <c r="I91" s="35">
        <v>63</v>
      </c>
      <c r="J91" s="35">
        <v>151</v>
      </c>
      <c r="K91" s="35">
        <v>6370</v>
      </c>
      <c r="L91" s="35">
        <v>56</v>
      </c>
      <c r="M91" s="36">
        <v>141.4</v>
      </c>
      <c r="N91" s="36">
        <v>79.3</v>
      </c>
      <c r="O91" s="36">
        <v>71.2</v>
      </c>
      <c r="P91" s="35">
        <v>0.78500000000000003</v>
      </c>
      <c r="Q91" s="36">
        <v>14.46</v>
      </c>
      <c r="R91" s="35">
        <v>26000000</v>
      </c>
      <c r="S91" s="36">
        <v>180600</v>
      </c>
      <c r="T91" s="36">
        <v>6130</v>
      </c>
      <c r="U91" s="35">
        <v>41350</v>
      </c>
      <c r="V91" s="36">
        <v>77400</v>
      </c>
      <c r="W91" s="35">
        <v>10640</v>
      </c>
      <c r="X91" s="36">
        <v>39200</v>
      </c>
      <c r="Y91" s="35">
        <v>-15350000</v>
      </c>
      <c r="Z91" s="35">
        <v>2</v>
      </c>
      <c r="AA91" s="36">
        <v>3</v>
      </c>
      <c r="AB91" s="36">
        <v>3</v>
      </c>
    </row>
    <row r="92" spans="1:28" x14ac:dyDescent="0.45">
      <c r="A92" s="43" t="s">
        <v>535</v>
      </c>
      <c r="B92" s="71">
        <v>57.1</v>
      </c>
      <c r="C92" s="30">
        <v>200</v>
      </c>
      <c r="D92" s="31">
        <v>19</v>
      </c>
      <c r="E92" s="31">
        <v>18</v>
      </c>
      <c r="F92" s="31">
        <v>9</v>
      </c>
      <c r="G92" s="30">
        <v>7270</v>
      </c>
      <c r="H92" s="30" t="s">
        <v>491</v>
      </c>
      <c r="I92" s="30">
        <v>64</v>
      </c>
      <c r="J92" s="30">
        <v>151</v>
      </c>
      <c r="K92" s="30">
        <v>6700</v>
      </c>
      <c r="L92" s="30">
        <v>56.4</v>
      </c>
      <c r="M92" s="31">
        <v>141.4</v>
      </c>
      <c r="N92" s="31">
        <v>79.800000000000011</v>
      </c>
      <c r="O92" s="31">
        <v>71.3</v>
      </c>
      <c r="P92" s="30">
        <v>0.78500000000000003</v>
      </c>
      <c r="Q92" s="31">
        <v>13.74</v>
      </c>
      <c r="R92" s="30">
        <v>27260000</v>
      </c>
      <c r="S92" s="31">
        <v>189900</v>
      </c>
      <c r="T92" s="31">
        <v>6120</v>
      </c>
      <c r="U92" s="30">
        <v>43350</v>
      </c>
      <c r="V92" s="31">
        <v>77200</v>
      </c>
      <c r="W92" s="30">
        <v>11170</v>
      </c>
      <c r="X92" s="31">
        <v>39200</v>
      </c>
      <c r="Y92" s="30">
        <v>-16090000</v>
      </c>
      <c r="Z92" s="30">
        <v>1</v>
      </c>
      <c r="AA92" s="31">
        <v>3</v>
      </c>
      <c r="AB92" s="31">
        <v>3</v>
      </c>
    </row>
    <row r="93" spans="1:28" x14ac:dyDescent="0.45">
      <c r="A93" s="105" t="s">
        <v>536</v>
      </c>
      <c r="B93" s="73">
        <v>59.9</v>
      </c>
      <c r="C93" s="35">
        <v>200</v>
      </c>
      <c r="D93" s="36">
        <v>20</v>
      </c>
      <c r="E93" s="36">
        <v>18</v>
      </c>
      <c r="F93" s="36">
        <v>9</v>
      </c>
      <c r="G93" s="35">
        <v>7630</v>
      </c>
      <c r="H93" s="35" t="s">
        <v>491</v>
      </c>
      <c r="I93" s="35">
        <v>65</v>
      </c>
      <c r="J93" s="35">
        <v>151</v>
      </c>
      <c r="K93" s="35">
        <v>7030</v>
      </c>
      <c r="L93" s="35">
        <v>56.8</v>
      </c>
      <c r="M93" s="36">
        <v>141.4</v>
      </c>
      <c r="N93" s="36">
        <v>80.399999999999991</v>
      </c>
      <c r="O93" s="36">
        <v>71.5</v>
      </c>
      <c r="P93" s="35">
        <v>0.78500000000000003</v>
      </c>
      <c r="Q93" s="36">
        <v>13.09</v>
      </c>
      <c r="R93" s="35">
        <v>28510000</v>
      </c>
      <c r="S93" s="36">
        <v>199100</v>
      </c>
      <c r="T93" s="36">
        <v>6110</v>
      </c>
      <c r="U93" s="35">
        <v>45320</v>
      </c>
      <c r="V93" s="36">
        <v>77000</v>
      </c>
      <c r="W93" s="35">
        <v>11690</v>
      </c>
      <c r="X93" s="36">
        <v>39100</v>
      </c>
      <c r="Y93" s="35">
        <v>-16810000</v>
      </c>
      <c r="Z93" s="35">
        <v>1</v>
      </c>
      <c r="AA93" s="36">
        <v>2</v>
      </c>
      <c r="AB93" s="36">
        <v>3</v>
      </c>
    </row>
    <row r="94" spans="1:28" x14ac:dyDescent="0.45">
      <c r="A94" s="43" t="s">
        <v>537</v>
      </c>
      <c r="B94" s="71">
        <v>62.8</v>
      </c>
      <c r="C94" s="30">
        <v>200</v>
      </c>
      <c r="D94" s="31">
        <v>21</v>
      </c>
      <c r="E94" s="31">
        <v>18</v>
      </c>
      <c r="F94" s="31">
        <v>9</v>
      </c>
      <c r="G94" s="30">
        <v>7990.0000000000009</v>
      </c>
      <c r="H94" s="30" t="s">
        <v>491</v>
      </c>
      <c r="I94" s="30">
        <v>66</v>
      </c>
      <c r="J94" s="30">
        <v>151</v>
      </c>
      <c r="K94" s="30">
        <v>7359.9999999999991</v>
      </c>
      <c r="L94" s="30">
        <v>57.199999999999996</v>
      </c>
      <c r="M94" s="31">
        <v>141.4</v>
      </c>
      <c r="N94" s="31">
        <v>80.900000000000006</v>
      </c>
      <c r="O94" s="31">
        <v>71.599999999999994</v>
      </c>
      <c r="P94" s="30">
        <v>0.78500000000000003</v>
      </c>
      <c r="Q94" s="31">
        <v>12.5</v>
      </c>
      <c r="R94" s="30">
        <v>29730000</v>
      </c>
      <c r="S94" s="31">
        <v>208200</v>
      </c>
      <c r="T94" s="31">
        <v>6100</v>
      </c>
      <c r="U94" s="30">
        <v>47250</v>
      </c>
      <c r="V94" s="31">
        <v>76900</v>
      </c>
      <c r="W94" s="30">
        <v>12210</v>
      </c>
      <c r="X94" s="31">
        <v>39100</v>
      </c>
      <c r="Y94" s="30">
        <v>-17520000</v>
      </c>
      <c r="Z94" s="30">
        <v>1</v>
      </c>
      <c r="AA94" s="31">
        <v>2</v>
      </c>
      <c r="AB94" s="31">
        <v>3</v>
      </c>
    </row>
    <row r="95" spans="1:28" x14ac:dyDescent="0.45">
      <c r="A95" s="40" t="s">
        <v>538</v>
      </c>
      <c r="B95" s="73">
        <v>65.599999999999994</v>
      </c>
      <c r="C95" s="35">
        <v>200</v>
      </c>
      <c r="D95" s="36">
        <v>22</v>
      </c>
      <c r="E95" s="36">
        <v>18</v>
      </c>
      <c r="F95" s="36">
        <v>9</v>
      </c>
      <c r="G95" s="35">
        <v>8350</v>
      </c>
      <c r="H95" s="35" t="s">
        <v>491</v>
      </c>
      <c r="I95" s="35">
        <v>67</v>
      </c>
      <c r="J95" s="35">
        <v>151</v>
      </c>
      <c r="K95" s="35">
        <v>7690.0000000000009</v>
      </c>
      <c r="L95" s="35">
        <v>57.599999999999994</v>
      </c>
      <c r="M95" s="36">
        <v>141.4</v>
      </c>
      <c r="N95" s="36">
        <v>81.5</v>
      </c>
      <c r="O95" s="36">
        <v>71.8</v>
      </c>
      <c r="P95" s="35">
        <v>0.78500000000000003</v>
      </c>
      <c r="Q95" s="36">
        <v>11.97</v>
      </c>
      <c r="R95" s="35">
        <v>30940000</v>
      </c>
      <c r="S95" s="36">
        <v>217300</v>
      </c>
      <c r="T95" s="36">
        <v>6090</v>
      </c>
      <c r="U95" s="35">
        <v>49150</v>
      </c>
      <c r="V95" s="36">
        <v>76700</v>
      </c>
      <c r="W95" s="35">
        <v>12730</v>
      </c>
      <c r="X95" s="36">
        <v>39000</v>
      </c>
      <c r="Y95" s="35">
        <v>-18210000</v>
      </c>
      <c r="Z95" s="35">
        <v>1</v>
      </c>
      <c r="AA95" s="36">
        <v>1</v>
      </c>
      <c r="AB95" s="36">
        <v>3</v>
      </c>
    </row>
    <row r="96" spans="1:28" x14ac:dyDescent="0.45">
      <c r="A96" s="43" t="s">
        <v>539</v>
      </c>
      <c r="B96" s="71">
        <v>68.3</v>
      </c>
      <c r="C96" s="30">
        <v>200</v>
      </c>
      <c r="D96" s="31">
        <v>23</v>
      </c>
      <c r="E96" s="31">
        <v>18</v>
      </c>
      <c r="F96" s="31">
        <v>9</v>
      </c>
      <c r="G96" s="30">
        <v>8710</v>
      </c>
      <c r="H96" s="30" t="s">
        <v>491</v>
      </c>
      <c r="I96" s="30">
        <v>68</v>
      </c>
      <c r="J96" s="30">
        <v>151</v>
      </c>
      <c r="K96" s="30">
        <v>8020</v>
      </c>
      <c r="L96" s="30">
        <v>58</v>
      </c>
      <c r="M96" s="31">
        <v>141.4</v>
      </c>
      <c r="N96" s="31">
        <v>82</v>
      </c>
      <c r="O96" s="31">
        <v>71.900000000000006</v>
      </c>
      <c r="P96" s="30">
        <v>0.78500000000000003</v>
      </c>
      <c r="Q96" s="31">
        <v>11.48</v>
      </c>
      <c r="R96" s="30">
        <v>32130000</v>
      </c>
      <c r="S96" s="31">
        <v>226300</v>
      </c>
      <c r="T96" s="31">
        <v>6080</v>
      </c>
      <c r="U96" s="30">
        <v>51020</v>
      </c>
      <c r="V96" s="31">
        <v>76600</v>
      </c>
      <c r="W96" s="30">
        <v>13240</v>
      </c>
      <c r="X96" s="31">
        <v>39000</v>
      </c>
      <c r="Y96" s="30">
        <v>-18890000</v>
      </c>
      <c r="Z96" s="30">
        <v>1</v>
      </c>
      <c r="AA96" s="31">
        <v>1</v>
      </c>
      <c r="AB96" s="31">
        <v>2</v>
      </c>
    </row>
    <row r="97" spans="1:28" x14ac:dyDescent="0.45">
      <c r="A97" s="105" t="s">
        <v>540</v>
      </c>
      <c r="B97" s="73">
        <v>71.099999999999994</v>
      </c>
      <c r="C97" s="35">
        <v>200</v>
      </c>
      <c r="D97" s="36">
        <v>24</v>
      </c>
      <c r="E97" s="36">
        <v>18</v>
      </c>
      <c r="F97" s="36">
        <v>9</v>
      </c>
      <c r="G97" s="35">
        <v>9060</v>
      </c>
      <c r="H97" s="35" t="s">
        <v>491</v>
      </c>
      <c r="I97" s="35">
        <v>69</v>
      </c>
      <c r="J97" s="35">
        <v>151</v>
      </c>
      <c r="K97" s="35">
        <v>8340</v>
      </c>
      <c r="L97" s="35">
        <v>58.4</v>
      </c>
      <c r="M97" s="36">
        <v>141.4</v>
      </c>
      <c r="N97" s="36">
        <v>82.6</v>
      </c>
      <c r="O97" s="36">
        <v>72.099999999999994</v>
      </c>
      <c r="P97" s="35">
        <v>0.78500000000000003</v>
      </c>
      <c r="Q97" s="36">
        <v>11.03</v>
      </c>
      <c r="R97" s="35">
        <v>33310000</v>
      </c>
      <c r="S97" s="36">
        <v>235200</v>
      </c>
      <c r="T97" s="36">
        <v>6060</v>
      </c>
      <c r="U97" s="35">
        <v>52860</v>
      </c>
      <c r="V97" s="36">
        <v>76400</v>
      </c>
      <c r="W97" s="35">
        <v>13750</v>
      </c>
      <c r="X97" s="36">
        <v>39000</v>
      </c>
      <c r="Y97" s="35">
        <v>-19550000</v>
      </c>
      <c r="Z97" s="35">
        <v>1</v>
      </c>
      <c r="AA97" s="36">
        <v>1</v>
      </c>
      <c r="AB97" s="36">
        <v>2</v>
      </c>
    </row>
    <row r="98" spans="1:28" x14ac:dyDescent="0.45">
      <c r="A98" s="43" t="s">
        <v>541</v>
      </c>
      <c r="B98" s="71">
        <v>73.900000000000006</v>
      </c>
      <c r="C98" s="30">
        <v>200</v>
      </c>
      <c r="D98" s="31">
        <v>25</v>
      </c>
      <c r="E98" s="31">
        <v>18</v>
      </c>
      <c r="F98" s="31">
        <v>9</v>
      </c>
      <c r="G98" s="30">
        <v>9410</v>
      </c>
      <c r="H98" s="30" t="s">
        <v>491</v>
      </c>
      <c r="I98" s="30">
        <v>70</v>
      </c>
      <c r="J98" s="30">
        <v>151</v>
      </c>
      <c r="K98" s="30">
        <v>8660</v>
      </c>
      <c r="L98" s="30">
        <v>58.8</v>
      </c>
      <c r="M98" s="31">
        <v>141.4</v>
      </c>
      <c r="N98" s="31">
        <v>83.100000000000009</v>
      </c>
      <c r="O98" s="31">
        <v>72.300000000000011</v>
      </c>
      <c r="P98" s="30">
        <v>0.78500000000000003</v>
      </c>
      <c r="Q98" s="31">
        <v>10.62</v>
      </c>
      <c r="R98" s="30">
        <v>34460000</v>
      </c>
      <c r="S98" s="31">
        <v>244000</v>
      </c>
      <c r="T98" s="31">
        <v>6050</v>
      </c>
      <c r="U98" s="30">
        <v>54670</v>
      </c>
      <c r="V98" s="31">
        <v>76200</v>
      </c>
      <c r="W98" s="30">
        <v>14260</v>
      </c>
      <c r="X98" s="31">
        <v>38900</v>
      </c>
      <c r="Y98" s="30">
        <v>-20200000</v>
      </c>
      <c r="Z98" s="30">
        <v>1</v>
      </c>
      <c r="AA98" s="31">
        <v>1</v>
      </c>
      <c r="AB98" s="31">
        <v>1</v>
      </c>
    </row>
    <row r="99" spans="1:28" x14ac:dyDescent="0.45">
      <c r="A99" s="40" t="s">
        <v>542</v>
      </c>
      <c r="B99" s="73">
        <v>76.599999999999994</v>
      </c>
      <c r="C99" s="35">
        <v>200</v>
      </c>
      <c r="D99" s="36">
        <v>26</v>
      </c>
      <c r="E99" s="36">
        <v>18</v>
      </c>
      <c r="F99" s="36">
        <v>9</v>
      </c>
      <c r="G99" s="35">
        <v>9760</v>
      </c>
      <c r="H99" s="35" t="s">
        <v>491</v>
      </c>
      <c r="I99" s="35">
        <v>71</v>
      </c>
      <c r="J99" s="35">
        <v>151</v>
      </c>
      <c r="K99" s="35">
        <v>8980</v>
      </c>
      <c r="L99" s="35">
        <v>59.1</v>
      </c>
      <c r="M99" s="36">
        <v>141.4</v>
      </c>
      <c r="N99" s="36">
        <v>83.6</v>
      </c>
      <c r="O99" s="36">
        <v>72.5</v>
      </c>
      <c r="P99" s="35">
        <v>0.78500000000000003</v>
      </c>
      <c r="Q99" s="36">
        <v>10.24</v>
      </c>
      <c r="R99" s="35">
        <v>35600000</v>
      </c>
      <c r="S99" s="36">
        <v>252700</v>
      </c>
      <c r="T99" s="36">
        <v>6040</v>
      </c>
      <c r="U99" s="35">
        <v>56440</v>
      </c>
      <c r="V99" s="36">
        <v>76100</v>
      </c>
      <c r="W99" s="35">
        <v>14760</v>
      </c>
      <c r="X99" s="36">
        <v>38900</v>
      </c>
      <c r="Y99" s="35">
        <v>-20840000</v>
      </c>
      <c r="Z99" s="35">
        <v>1</v>
      </c>
      <c r="AA99" s="36">
        <v>1</v>
      </c>
      <c r="AB99" s="36">
        <v>1</v>
      </c>
    </row>
    <row r="100" spans="1:28" x14ac:dyDescent="0.45">
      <c r="A100" s="40" t="s">
        <v>543</v>
      </c>
      <c r="B100" s="73">
        <v>75.599999999999994</v>
      </c>
      <c r="C100" s="35">
        <v>250</v>
      </c>
      <c r="D100" s="36">
        <v>20</v>
      </c>
      <c r="E100" s="36">
        <v>18</v>
      </c>
      <c r="F100" s="36">
        <v>9</v>
      </c>
      <c r="G100" s="35">
        <v>9630</v>
      </c>
      <c r="H100" s="35" t="s">
        <v>491</v>
      </c>
      <c r="I100" s="35">
        <v>40</v>
      </c>
      <c r="J100" s="35">
        <v>240</v>
      </c>
      <c r="K100" s="35">
        <v>9030</v>
      </c>
      <c r="L100" s="35">
        <v>69.3</v>
      </c>
      <c r="M100" s="36">
        <v>176.8</v>
      </c>
      <c r="N100" s="36">
        <v>98.100000000000009</v>
      </c>
      <c r="O100" s="36">
        <v>89.1</v>
      </c>
      <c r="P100" s="35">
        <v>0.98499999999999999</v>
      </c>
      <c r="Q100" s="36">
        <v>13.02</v>
      </c>
      <c r="R100" s="35">
        <v>57430000</v>
      </c>
      <c r="S100" s="36">
        <v>317900</v>
      </c>
      <c r="T100" s="36">
        <v>7720</v>
      </c>
      <c r="U100" s="35">
        <v>91440</v>
      </c>
      <c r="V100" s="36">
        <v>97400</v>
      </c>
      <c r="W100" s="35">
        <v>23410</v>
      </c>
      <c r="X100" s="36">
        <v>49300</v>
      </c>
      <c r="Y100" s="35">
        <v>-34010000</v>
      </c>
      <c r="Z100" s="35">
        <v>3</v>
      </c>
      <c r="AA100" s="36">
        <v>3</v>
      </c>
      <c r="AB100" s="39"/>
    </row>
    <row r="101" spans="1:28" x14ac:dyDescent="0.45">
      <c r="A101" s="43" t="s">
        <v>544</v>
      </c>
      <c r="B101" s="71">
        <v>79.2</v>
      </c>
      <c r="C101" s="30">
        <v>250</v>
      </c>
      <c r="D101" s="31">
        <v>21</v>
      </c>
      <c r="E101" s="31">
        <v>18</v>
      </c>
      <c r="F101" s="31">
        <v>9</v>
      </c>
      <c r="G101" s="30">
        <v>10100</v>
      </c>
      <c r="H101" s="30" t="s">
        <v>491</v>
      </c>
      <c r="I101" s="30">
        <v>41</v>
      </c>
      <c r="J101" s="30">
        <v>246</v>
      </c>
      <c r="K101" s="30">
        <v>9460</v>
      </c>
      <c r="L101" s="30">
        <v>69.7</v>
      </c>
      <c r="M101" s="31">
        <v>176.8</v>
      </c>
      <c r="N101" s="31">
        <v>98.6</v>
      </c>
      <c r="O101" s="31">
        <v>89.3</v>
      </c>
      <c r="P101" s="30">
        <v>0.98499999999999999</v>
      </c>
      <c r="Q101" s="31">
        <v>12.43</v>
      </c>
      <c r="R101" s="30">
        <v>59970000</v>
      </c>
      <c r="S101" s="31">
        <v>332700</v>
      </c>
      <c r="T101" s="31">
        <v>7710</v>
      </c>
      <c r="U101" s="30">
        <v>95480</v>
      </c>
      <c r="V101" s="31">
        <v>97300</v>
      </c>
      <c r="W101" s="30">
        <v>24470</v>
      </c>
      <c r="X101" s="31">
        <v>49200</v>
      </c>
      <c r="Y101" s="30">
        <v>-35500000</v>
      </c>
      <c r="Z101" s="30">
        <v>3</v>
      </c>
      <c r="AA101" s="31">
        <v>3</v>
      </c>
      <c r="AB101" s="38"/>
    </row>
    <row r="102" spans="1:28" x14ac:dyDescent="0.45">
      <c r="A102" s="40" t="s">
        <v>545</v>
      </c>
      <c r="B102" s="73">
        <v>82.8</v>
      </c>
      <c r="C102" s="35">
        <v>250</v>
      </c>
      <c r="D102" s="36">
        <v>22</v>
      </c>
      <c r="E102" s="36">
        <v>18</v>
      </c>
      <c r="F102" s="36">
        <v>9</v>
      </c>
      <c r="G102" s="35">
        <v>10600</v>
      </c>
      <c r="H102" s="35" t="s">
        <v>491</v>
      </c>
      <c r="I102" s="35">
        <v>42</v>
      </c>
      <c r="J102" s="35">
        <v>246</v>
      </c>
      <c r="K102" s="35">
        <v>9890</v>
      </c>
      <c r="L102" s="35">
        <v>70.099999999999994</v>
      </c>
      <c r="M102" s="36">
        <v>176.8</v>
      </c>
      <c r="N102" s="36">
        <v>99.2</v>
      </c>
      <c r="O102" s="36">
        <v>89.399999999999991</v>
      </c>
      <c r="P102" s="35">
        <v>0.98499999999999999</v>
      </c>
      <c r="Q102" s="36">
        <v>11.89</v>
      </c>
      <c r="R102" s="35">
        <v>62490000</v>
      </c>
      <c r="S102" s="36">
        <v>347400</v>
      </c>
      <c r="T102" s="36">
        <v>7700</v>
      </c>
      <c r="U102" s="35">
        <v>99460</v>
      </c>
      <c r="V102" s="36">
        <v>97100.000000000015</v>
      </c>
      <c r="W102" s="35">
        <v>25520</v>
      </c>
      <c r="X102" s="36">
        <v>49200</v>
      </c>
      <c r="Y102" s="35">
        <v>-36970000</v>
      </c>
      <c r="Z102" s="35">
        <v>2</v>
      </c>
      <c r="AA102" s="36">
        <v>3</v>
      </c>
      <c r="AB102" s="39"/>
    </row>
    <row r="103" spans="1:28" x14ac:dyDescent="0.45">
      <c r="A103" s="43" t="s">
        <v>546</v>
      </c>
      <c r="B103" s="71">
        <v>86.4</v>
      </c>
      <c r="C103" s="30">
        <v>250</v>
      </c>
      <c r="D103" s="31">
        <v>23</v>
      </c>
      <c r="E103" s="31">
        <v>18</v>
      </c>
      <c r="F103" s="31">
        <v>9</v>
      </c>
      <c r="G103" s="30">
        <v>11000</v>
      </c>
      <c r="H103" s="30" t="s">
        <v>491</v>
      </c>
      <c r="I103" s="30">
        <v>43</v>
      </c>
      <c r="J103" s="30">
        <v>246</v>
      </c>
      <c r="K103" s="30">
        <v>10300</v>
      </c>
      <c r="L103" s="30">
        <v>70.5</v>
      </c>
      <c r="M103" s="31">
        <v>176.8</v>
      </c>
      <c r="N103" s="31">
        <v>99.7</v>
      </c>
      <c r="O103" s="31">
        <v>89.600000000000009</v>
      </c>
      <c r="P103" s="30">
        <v>0.98499999999999999</v>
      </c>
      <c r="Q103" s="31">
        <v>11.4</v>
      </c>
      <c r="R103" s="30">
        <v>64970000</v>
      </c>
      <c r="S103" s="31">
        <v>362000</v>
      </c>
      <c r="T103" s="31">
        <v>7680</v>
      </c>
      <c r="U103" s="30">
        <v>103390</v>
      </c>
      <c r="V103" s="31">
        <v>96900</v>
      </c>
      <c r="W103" s="30">
        <v>26550</v>
      </c>
      <c r="X103" s="31">
        <v>49100</v>
      </c>
      <c r="Y103" s="30">
        <v>-38420000</v>
      </c>
      <c r="Z103" s="30">
        <v>2</v>
      </c>
      <c r="AA103" s="31">
        <v>3</v>
      </c>
      <c r="AB103" s="38"/>
    </row>
    <row r="104" spans="1:28" x14ac:dyDescent="0.45">
      <c r="A104" s="40" t="s">
        <v>547</v>
      </c>
      <c r="B104" s="73">
        <v>90</v>
      </c>
      <c r="C104" s="35">
        <v>250</v>
      </c>
      <c r="D104" s="36">
        <v>24</v>
      </c>
      <c r="E104" s="36">
        <v>18</v>
      </c>
      <c r="F104" s="36">
        <v>9</v>
      </c>
      <c r="G104" s="35">
        <v>11500</v>
      </c>
      <c r="H104" s="35" t="s">
        <v>491</v>
      </c>
      <c r="I104" s="35">
        <v>44</v>
      </c>
      <c r="J104" s="35">
        <v>246</v>
      </c>
      <c r="K104" s="35">
        <v>10700</v>
      </c>
      <c r="L104" s="35">
        <v>70.900000000000006</v>
      </c>
      <c r="M104" s="36">
        <v>176.8</v>
      </c>
      <c r="N104" s="36">
        <v>100.3</v>
      </c>
      <c r="O104" s="36">
        <v>89.800000000000011</v>
      </c>
      <c r="P104" s="35">
        <v>0.98499999999999999</v>
      </c>
      <c r="Q104" s="36">
        <v>10.95</v>
      </c>
      <c r="R104" s="35">
        <v>67430000</v>
      </c>
      <c r="S104" s="36">
        <v>376500</v>
      </c>
      <c r="T104" s="36">
        <v>7670</v>
      </c>
      <c r="U104" s="35">
        <v>107270</v>
      </c>
      <c r="V104" s="36">
        <v>96800</v>
      </c>
      <c r="W104" s="35">
        <v>27590</v>
      </c>
      <c r="X104" s="36">
        <v>49100</v>
      </c>
      <c r="Y104" s="35">
        <v>-39840000</v>
      </c>
      <c r="Z104" s="35">
        <v>1</v>
      </c>
      <c r="AA104" s="36">
        <v>3</v>
      </c>
      <c r="AB104" s="39"/>
    </row>
    <row r="105" spans="1:28" x14ac:dyDescent="0.45">
      <c r="A105" s="43" t="s">
        <v>548</v>
      </c>
      <c r="B105" s="71">
        <v>93.5</v>
      </c>
      <c r="C105" s="30">
        <v>250</v>
      </c>
      <c r="D105" s="31">
        <v>25</v>
      </c>
      <c r="E105" s="31">
        <v>18</v>
      </c>
      <c r="F105" s="31">
        <v>9</v>
      </c>
      <c r="G105" s="30">
        <v>11900</v>
      </c>
      <c r="H105" s="30" t="s">
        <v>491</v>
      </c>
      <c r="I105" s="30">
        <v>45</v>
      </c>
      <c r="J105" s="30">
        <v>246</v>
      </c>
      <c r="K105" s="30">
        <v>11200</v>
      </c>
      <c r="L105" s="30">
        <v>71.3</v>
      </c>
      <c r="M105" s="31">
        <v>176.8</v>
      </c>
      <c r="N105" s="31">
        <v>100.8</v>
      </c>
      <c r="O105" s="31">
        <v>89.9</v>
      </c>
      <c r="P105" s="30">
        <v>0.98499999999999999</v>
      </c>
      <c r="Q105" s="31">
        <v>10.53</v>
      </c>
      <c r="R105" s="30">
        <v>69860000</v>
      </c>
      <c r="S105" s="31">
        <v>390900</v>
      </c>
      <c r="T105" s="31">
        <v>7660</v>
      </c>
      <c r="U105" s="30">
        <v>111100</v>
      </c>
      <c r="V105" s="31">
        <v>96600</v>
      </c>
      <c r="W105" s="30">
        <v>28610</v>
      </c>
      <c r="X105" s="31">
        <v>49000</v>
      </c>
      <c r="Y105" s="30">
        <v>-41240000</v>
      </c>
      <c r="Z105" s="30">
        <v>1</v>
      </c>
      <c r="AA105" s="31">
        <v>3</v>
      </c>
      <c r="AB105" s="38"/>
    </row>
    <row r="106" spans="1:28" x14ac:dyDescent="0.45">
      <c r="A106" s="40" t="s">
        <v>549</v>
      </c>
      <c r="B106" s="73">
        <v>97</v>
      </c>
      <c r="C106" s="35">
        <v>250</v>
      </c>
      <c r="D106" s="36">
        <v>26</v>
      </c>
      <c r="E106" s="36">
        <v>18</v>
      </c>
      <c r="F106" s="36">
        <v>9</v>
      </c>
      <c r="G106" s="35">
        <v>12400</v>
      </c>
      <c r="H106" s="35" t="s">
        <v>491</v>
      </c>
      <c r="I106" s="35">
        <v>46</v>
      </c>
      <c r="J106" s="35">
        <v>246</v>
      </c>
      <c r="K106" s="35">
        <v>11600</v>
      </c>
      <c r="L106" s="35">
        <v>71.7</v>
      </c>
      <c r="M106" s="36">
        <v>176.8</v>
      </c>
      <c r="N106" s="36">
        <v>101.30000000000001</v>
      </c>
      <c r="O106" s="36">
        <v>90.1</v>
      </c>
      <c r="P106" s="35">
        <v>0.98499999999999999</v>
      </c>
      <c r="Q106" s="36">
        <v>10.15</v>
      </c>
      <c r="R106" s="35">
        <v>72260000</v>
      </c>
      <c r="S106" s="36">
        <v>405200</v>
      </c>
      <c r="T106" s="36">
        <v>7650</v>
      </c>
      <c r="U106" s="35">
        <v>114880</v>
      </c>
      <c r="V106" s="36">
        <v>96400</v>
      </c>
      <c r="W106" s="35">
        <v>29630</v>
      </c>
      <c r="X106" s="36">
        <v>49000</v>
      </c>
      <c r="Y106" s="35">
        <v>-42620000</v>
      </c>
      <c r="Z106" s="35">
        <v>1</v>
      </c>
      <c r="AA106" s="36">
        <v>2</v>
      </c>
      <c r="AB106" s="39"/>
    </row>
    <row r="107" spans="1:28" x14ac:dyDescent="0.45">
      <c r="A107" s="43" t="s">
        <v>550</v>
      </c>
      <c r="B107" s="71">
        <v>101</v>
      </c>
      <c r="C107" s="30">
        <v>250</v>
      </c>
      <c r="D107" s="31">
        <v>27</v>
      </c>
      <c r="E107" s="31">
        <v>18</v>
      </c>
      <c r="F107" s="31">
        <v>9</v>
      </c>
      <c r="G107" s="30">
        <v>12800</v>
      </c>
      <c r="H107" s="30" t="s">
        <v>491</v>
      </c>
      <c r="I107" s="30">
        <v>47</v>
      </c>
      <c r="J107" s="30">
        <v>246</v>
      </c>
      <c r="K107" s="30">
        <v>12000</v>
      </c>
      <c r="L107" s="30">
        <v>72</v>
      </c>
      <c r="M107" s="31">
        <v>176.8</v>
      </c>
      <c r="N107" s="31">
        <v>101.89999999999999</v>
      </c>
      <c r="O107" s="31">
        <v>90.3</v>
      </c>
      <c r="P107" s="30">
        <v>0.98499999999999999</v>
      </c>
      <c r="Q107" s="31">
        <v>9.7899999999999991</v>
      </c>
      <c r="R107" s="30">
        <v>74630000</v>
      </c>
      <c r="S107" s="31">
        <v>419300</v>
      </c>
      <c r="T107" s="31">
        <v>7630</v>
      </c>
      <c r="U107" s="30">
        <v>118610</v>
      </c>
      <c r="V107" s="31">
        <v>96199.999999999985</v>
      </c>
      <c r="W107" s="30">
        <v>30650</v>
      </c>
      <c r="X107" s="31">
        <v>48900</v>
      </c>
      <c r="Y107" s="30">
        <v>-43980000</v>
      </c>
      <c r="Z107" s="30">
        <v>1</v>
      </c>
      <c r="AA107" s="31">
        <v>2</v>
      </c>
      <c r="AB107" s="38"/>
    </row>
    <row r="108" spans="1:28" x14ac:dyDescent="0.45">
      <c r="A108" s="105" t="s">
        <v>551</v>
      </c>
      <c r="B108" s="73">
        <v>104</v>
      </c>
      <c r="C108" s="35">
        <v>250</v>
      </c>
      <c r="D108" s="36">
        <v>28</v>
      </c>
      <c r="E108" s="36">
        <v>18</v>
      </c>
      <c r="F108" s="36">
        <v>9</v>
      </c>
      <c r="G108" s="35">
        <v>13300</v>
      </c>
      <c r="H108" s="35" t="s">
        <v>491</v>
      </c>
      <c r="I108" s="35">
        <v>48</v>
      </c>
      <c r="J108" s="35">
        <v>246</v>
      </c>
      <c r="K108" s="35">
        <v>12400</v>
      </c>
      <c r="L108" s="35">
        <v>72.400000000000006</v>
      </c>
      <c r="M108" s="36">
        <v>176.8</v>
      </c>
      <c r="N108" s="36">
        <v>102.4</v>
      </c>
      <c r="O108" s="36">
        <v>90.399999999999991</v>
      </c>
      <c r="P108" s="35">
        <v>0.98499999999999999</v>
      </c>
      <c r="Q108" s="36">
        <v>9.4700000000000006</v>
      </c>
      <c r="R108" s="35">
        <v>76970000</v>
      </c>
      <c r="S108" s="36">
        <v>433400</v>
      </c>
      <c r="T108" s="36">
        <v>7620</v>
      </c>
      <c r="U108" s="35">
        <v>122290</v>
      </c>
      <c r="V108" s="36">
        <v>96100</v>
      </c>
      <c r="W108" s="35">
        <v>31660</v>
      </c>
      <c r="X108" s="36">
        <v>48900</v>
      </c>
      <c r="Y108" s="35">
        <v>-45320000</v>
      </c>
      <c r="Z108" s="35">
        <v>1</v>
      </c>
      <c r="AA108" s="36">
        <v>1</v>
      </c>
      <c r="AB108" s="39"/>
    </row>
    <row r="109" spans="1:28" x14ac:dyDescent="0.45">
      <c r="A109" s="59" t="s">
        <v>552</v>
      </c>
      <c r="B109" s="114">
        <v>128</v>
      </c>
      <c r="C109" s="41">
        <v>250</v>
      </c>
      <c r="D109" s="42">
        <v>35</v>
      </c>
      <c r="E109" s="42">
        <v>18</v>
      </c>
      <c r="F109" s="42">
        <v>9</v>
      </c>
      <c r="G109" s="41">
        <v>16300</v>
      </c>
      <c r="H109" s="41" t="s">
        <v>491</v>
      </c>
      <c r="I109" s="41">
        <v>78</v>
      </c>
      <c r="J109" s="41">
        <v>205</v>
      </c>
      <c r="K109" s="41">
        <v>15300</v>
      </c>
      <c r="L109" s="41">
        <v>75</v>
      </c>
      <c r="M109" s="42">
        <v>176.8</v>
      </c>
      <c r="N109" s="42">
        <v>106.1</v>
      </c>
      <c r="O109" s="42">
        <v>91.7</v>
      </c>
      <c r="P109" s="41">
        <v>0.98499999999999999</v>
      </c>
      <c r="Q109" s="42">
        <v>7.69</v>
      </c>
      <c r="R109" s="42">
        <v>92640000</v>
      </c>
      <c r="S109" s="42">
        <v>529400</v>
      </c>
      <c r="T109" s="42">
        <v>7540</v>
      </c>
      <c r="U109" s="41">
        <v>146680</v>
      </c>
      <c r="V109" s="42">
        <v>94800</v>
      </c>
      <c r="W109" s="41">
        <v>38590</v>
      </c>
      <c r="X109" s="42">
        <v>48600</v>
      </c>
      <c r="Y109" s="41">
        <v>-54050000</v>
      </c>
      <c r="Z109" s="41">
        <v>1</v>
      </c>
      <c r="AA109" s="42">
        <v>1</v>
      </c>
      <c r="AB109" s="116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1"/>
  <dimension ref="A1:AN38"/>
  <sheetViews>
    <sheetView topLeftCell="V1" zoomScale="85" zoomScaleNormal="85" workbookViewId="0">
      <selection activeCell="AO1" sqref="AO1:AS1048576"/>
    </sheetView>
  </sheetViews>
  <sheetFormatPr baseColWidth="10" defaultColWidth="11.3984375" defaultRowHeight="14.25" x14ac:dyDescent="0.45"/>
  <cols>
    <col min="1" max="1" width="15.59765625" style="123" bestFit="1" customWidth="1"/>
    <col min="2" max="2" width="8.59765625" style="123" bestFit="1" customWidth="1"/>
    <col min="3" max="4" width="9.59765625" style="123" bestFit="1" customWidth="1"/>
    <col min="5" max="6" width="8.59765625" style="123" bestFit="1" customWidth="1"/>
    <col min="7" max="7" width="7.59765625" style="123" bestFit="1" customWidth="1"/>
    <col min="8" max="8" width="11" style="123" bestFit="1" customWidth="1"/>
    <col min="9" max="9" width="6.73046875" style="123" customWidth="1"/>
    <col min="10" max="10" width="12.3984375" style="123" bestFit="1" customWidth="1"/>
    <col min="11" max="11" width="12.59765625" style="123" bestFit="1" customWidth="1"/>
    <col min="12" max="12" width="8.59765625" style="123" bestFit="1" customWidth="1"/>
    <col min="13" max="13" width="6.73046875" style="123" bestFit="1" customWidth="1"/>
    <col min="14" max="14" width="12.3984375" style="123" bestFit="1" customWidth="1"/>
    <col min="15" max="15" width="12.73046875" style="123" bestFit="1" customWidth="1"/>
    <col min="16" max="18" width="8.59765625" style="123" bestFit="1" customWidth="1"/>
    <col min="19" max="19" width="9.59765625" style="123" bestFit="1" customWidth="1"/>
    <col min="20" max="23" width="8.59765625" style="123" bestFit="1" customWidth="1"/>
    <col min="24" max="24" width="7.59765625" style="123" bestFit="1" customWidth="1"/>
    <col min="25" max="25" width="8.59765625" style="123" bestFit="1" customWidth="1"/>
    <col min="26" max="26" width="15.59765625" style="123" bestFit="1" customWidth="1"/>
    <col min="27" max="27" width="13.1328125" style="123" bestFit="1" customWidth="1"/>
    <col min="28" max="28" width="8.59765625" style="123" bestFit="1" customWidth="1"/>
    <col min="29" max="29" width="14.59765625" style="123" bestFit="1" customWidth="1"/>
    <col min="30" max="30" width="12.1328125" style="123" bestFit="1" customWidth="1"/>
    <col min="31" max="31" width="8.59765625" style="123" bestFit="1" customWidth="1"/>
    <col min="32" max="32" width="15.59765625" style="123" bestFit="1" customWidth="1"/>
    <col min="33" max="33" width="8.59765625" style="123" bestFit="1" customWidth="1"/>
    <col min="34" max="34" width="9.59765625" style="123" bestFit="1" customWidth="1"/>
    <col min="35" max="35" width="8.59765625" style="123" bestFit="1" customWidth="1"/>
    <col min="36" max="36" width="14.59765625" style="123" bestFit="1" customWidth="1"/>
    <col min="37" max="37" width="8.59765625" style="123" bestFit="1" customWidth="1"/>
    <col min="38" max="38" width="11.265625" style="123" customWidth="1"/>
    <col min="39" max="39" width="10.265625" style="123" customWidth="1"/>
    <col min="40" max="40" width="12.73046875" style="123" customWidth="1"/>
    <col min="41" max="16384" width="11.3984375" style="123"/>
  </cols>
  <sheetData>
    <row r="1" spans="1:40" s="92" customFormat="1" ht="31.15" x14ac:dyDescent="0.45">
      <c r="A1" s="25" t="s">
        <v>1</v>
      </c>
      <c r="B1" s="25" t="s">
        <v>2</v>
      </c>
      <c r="C1" s="25" t="s">
        <v>3</v>
      </c>
      <c r="D1" s="25" t="s">
        <v>4</v>
      </c>
      <c r="E1" s="25" t="s">
        <v>426</v>
      </c>
      <c r="F1" s="25" t="s">
        <v>362</v>
      </c>
      <c r="G1" s="25" t="s">
        <v>363</v>
      </c>
      <c r="H1" s="25" t="s">
        <v>8</v>
      </c>
      <c r="I1" s="25" t="s">
        <v>553</v>
      </c>
      <c r="J1" s="25" t="s">
        <v>554</v>
      </c>
      <c r="K1" s="25" t="s">
        <v>555</v>
      </c>
      <c r="L1" s="25" t="s">
        <v>556</v>
      </c>
      <c r="M1" s="25" t="s">
        <v>557</v>
      </c>
      <c r="N1" s="25" t="s">
        <v>558</v>
      </c>
      <c r="O1" s="25" t="s">
        <v>559</v>
      </c>
      <c r="P1" s="25" t="s">
        <v>560</v>
      </c>
      <c r="Q1" s="25" t="s">
        <v>561</v>
      </c>
      <c r="R1" s="25" t="s">
        <v>346</v>
      </c>
      <c r="S1" s="25" t="s">
        <v>562</v>
      </c>
      <c r="T1" s="25" t="s">
        <v>563</v>
      </c>
      <c r="U1" s="25" t="s">
        <v>430</v>
      </c>
      <c r="V1" s="25" t="s">
        <v>431</v>
      </c>
      <c r="W1" s="25" t="s">
        <v>564</v>
      </c>
      <c r="X1" s="25" t="s">
        <v>14</v>
      </c>
      <c r="Y1" s="25" t="s">
        <v>15</v>
      </c>
      <c r="Z1" s="25" t="s">
        <v>16</v>
      </c>
      <c r="AA1" s="25" t="s">
        <v>17</v>
      </c>
      <c r="AB1" s="25" t="s">
        <v>565</v>
      </c>
      <c r="AC1" s="25" t="s">
        <v>566</v>
      </c>
      <c r="AD1" s="25" t="s">
        <v>567</v>
      </c>
      <c r="AE1" s="25" t="s">
        <v>568</v>
      </c>
      <c r="AF1" s="25" t="s">
        <v>435</v>
      </c>
      <c r="AG1" s="25" t="s">
        <v>436</v>
      </c>
      <c r="AH1" s="25" t="s">
        <v>437</v>
      </c>
      <c r="AI1" s="25" t="s">
        <v>438</v>
      </c>
      <c r="AJ1" s="25" t="s">
        <v>439</v>
      </c>
      <c r="AK1" s="25" t="s">
        <v>569</v>
      </c>
      <c r="AL1" s="124" t="s">
        <v>28</v>
      </c>
      <c r="AM1" s="124" t="s">
        <v>29</v>
      </c>
      <c r="AN1" s="125" t="s">
        <v>30</v>
      </c>
    </row>
    <row r="2" spans="1:40" s="92" customFormat="1" ht="32.25" x14ac:dyDescent="0.45">
      <c r="A2" s="25" t="s">
        <v>731</v>
      </c>
      <c r="B2" s="25" t="s">
        <v>31</v>
      </c>
      <c r="C2" s="25" t="s">
        <v>32</v>
      </c>
      <c r="D2" s="25" t="s">
        <v>32</v>
      </c>
      <c r="E2" s="25" t="s">
        <v>32</v>
      </c>
      <c r="F2" s="25" t="s">
        <v>32</v>
      </c>
      <c r="G2" s="25" t="s">
        <v>32</v>
      </c>
      <c r="H2" s="25" t="s">
        <v>33</v>
      </c>
      <c r="I2" s="25"/>
      <c r="J2" s="25" t="s">
        <v>32</v>
      </c>
      <c r="K2" s="25" t="s">
        <v>32</v>
      </c>
      <c r="L2" s="25" t="s">
        <v>33</v>
      </c>
      <c r="M2" s="25"/>
      <c r="N2" s="25" t="s">
        <v>32</v>
      </c>
      <c r="O2" s="25" t="s">
        <v>32</v>
      </c>
      <c r="P2" s="25" t="s">
        <v>33</v>
      </c>
      <c r="Q2" s="25" t="s">
        <v>32</v>
      </c>
      <c r="R2" s="25" t="s">
        <v>32</v>
      </c>
      <c r="S2" s="25" t="s">
        <v>32</v>
      </c>
      <c r="T2" s="25" t="s">
        <v>32</v>
      </c>
      <c r="U2" s="25" t="s">
        <v>32</v>
      </c>
      <c r="V2" s="25" t="s">
        <v>32</v>
      </c>
      <c r="W2" s="25" t="s">
        <v>32</v>
      </c>
      <c r="X2" s="25" t="s">
        <v>440</v>
      </c>
      <c r="Y2" s="25" t="s">
        <v>441</v>
      </c>
      <c r="Z2" s="25" t="s">
        <v>37</v>
      </c>
      <c r="AA2" s="25" t="s">
        <v>38</v>
      </c>
      <c r="AB2" s="25" t="s">
        <v>32</v>
      </c>
      <c r="AC2" s="25" t="s">
        <v>37</v>
      </c>
      <c r="AD2" s="25" t="s">
        <v>38</v>
      </c>
      <c r="AE2" s="25" t="s">
        <v>32</v>
      </c>
      <c r="AF2" s="25" t="s">
        <v>37</v>
      </c>
      <c r="AG2" s="25" t="s">
        <v>32</v>
      </c>
      <c r="AH2" s="25" t="s">
        <v>37</v>
      </c>
      <c r="AI2" s="25" t="s">
        <v>32</v>
      </c>
      <c r="AJ2" s="25" t="s">
        <v>37</v>
      </c>
      <c r="AK2" s="126"/>
      <c r="AL2" s="50" t="s">
        <v>733</v>
      </c>
      <c r="AM2" s="50" t="s">
        <v>733</v>
      </c>
      <c r="AN2" s="50" t="s">
        <v>733</v>
      </c>
    </row>
    <row r="3" spans="1:40" x14ac:dyDescent="0.45">
      <c r="A3" s="127" t="s">
        <v>570</v>
      </c>
      <c r="B3" s="27">
        <v>8.77</v>
      </c>
      <c r="C3" s="128">
        <v>100</v>
      </c>
      <c r="D3" s="27">
        <v>65</v>
      </c>
      <c r="E3" s="27">
        <v>7</v>
      </c>
      <c r="F3" s="27">
        <v>10</v>
      </c>
      <c r="G3" s="27">
        <v>5</v>
      </c>
      <c r="H3" s="26">
        <v>1120</v>
      </c>
      <c r="I3" s="127" t="s">
        <v>108</v>
      </c>
      <c r="J3" s="27">
        <v>47</v>
      </c>
      <c r="K3" s="27">
        <v>54</v>
      </c>
      <c r="L3" s="27">
        <v>9.07</v>
      </c>
      <c r="M3" s="127" t="s">
        <v>80</v>
      </c>
      <c r="N3" s="27">
        <v>37</v>
      </c>
      <c r="O3" s="27">
        <v>38</v>
      </c>
      <c r="P3" s="27">
        <v>9.91</v>
      </c>
      <c r="Q3" s="26">
        <v>32.299999999999997</v>
      </c>
      <c r="R3" s="27">
        <v>15.1</v>
      </c>
      <c r="S3" s="27">
        <v>68.3</v>
      </c>
      <c r="T3" s="27">
        <v>49</v>
      </c>
      <c r="U3" s="27">
        <v>26.400000000000002</v>
      </c>
      <c r="V3" s="27">
        <v>34.4</v>
      </c>
      <c r="W3" s="27">
        <v>16.599999999999998</v>
      </c>
      <c r="X3" s="26">
        <v>0.32100000000000001</v>
      </c>
      <c r="Y3" s="27">
        <v>36.659999999999997</v>
      </c>
      <c r="Z3" s="102">
        <v>1125000</v>
      </c>
      <c r="AA3" s="27">
        <v>16610</v>
      </c>
      <c r="AB3" s="27">
        <v>31.7</v>
      </c>
      <c r="AC3" s="26">
        <v>375800</v>
      </c>
      <c r="AD3" s="27">
        <v>7530</v>
      </c>
      <c r="AE3" s="27">
        <v>18.3</v>
      </c>
      <c r="AF3" s="26">
        <v>1282000</v>
      </c>
      <c r="AG3" s="27">
        <v>33.9</v>
      </c>
      <c r="AH3" s="26">
        <v>21.89</v>
      </c>
      <c r="AI3" s="27">
        <v>14</v>
      </c>
      <c r="AJ3" s="26">
        <v>-377000</v>
      </c>
      <c r="AK3" s="27">
        <v>22.59</v>
      </c>
      <c r="AL3" s="26">
        <v>3</v>
      </c>
      <c r="AM3" s="27">
        <v>3</v>
      </c>
      <c r="AN3" s="27"/>
    </row>
    <row r="4" spans="1:40" x14ac:dyDescent="0.45">
      <c r="A4" s="129" t="s">
        <v>571</v>
      </c>
      <c r="B4" s="31">
        <v>9.94</v>
      </c>
      <c r="C4" s="130">
        <v>100</v>
      </c>
      <c r="D4" s="31">
        <v>65</v>
      </c>
      <c r="E4" s="31">
        <v>8</v>
      </c>
      <c r="F4" s="31">
        <v>10</v>
      </c>
      <c r="G4" s="31">
        <v>5</v>
      </c>
      <c r="H4" s="30">
        <v>1270</v>
      </c>
      <c r="I4" s="131" t="s">
        <v>110</v>
      </c>
      <c r="J4" s="31">
        <v>48</v>
      </c>
      <c r="K4" s="31">
        <v>54</v>
      </c>
      <c r="L4" s="31">
        <v>10.3</v>
      </c>
      <c r="M4" s="131" t="s">
        <v>78</v>
      </c>
      <c r="N4" s="31">
        <v>38</v>
      </c>
      <c r="O4" s="31">
        <v>38</v>
      </c>
      <c r="P4" s="31">
        <v>11.2</v>
      </c>
      <c r="Q4" s="30">
        <v>32.700000000000003</v>
      </c>
      <c r="R4" s="31">
        <v>15.5</v>
      </c>
      <c r="S4" s="31">
        <v>68.099999999999994</v>
      </c>
      <c r="T4" s="31">
        <v>49.2</v>
      </c>
      <c r="U4" s="31">
        <v>26.9</v>
      </c>
      <c r="V4" s="31">
        <v>34.300000000000004</v>
      </c>
      <c r="W4" s="31">
        <v>16.899999999999999</v>
      </c>
      <c r="X4" s="30">
        <v>0.32100000000000001</v>
      </c>
      <c r="Y4" s="31">
        <v>32.32</v>
      </c>
      <c r="Z4" s="103">
        <v>1268000</v>
      </c>
      <c r="AA4" s="31">
        <v>18850</v>
      </c>
      <c r="AB4" s="31">
        <v>31.6</v>
      </c>
      <c r="AC4" s="30">
        <v>422299.99999999994</v>
      </c>
      <c r="AD4" s="31">
        <v>8540</v>
      </c>
      <c r="AE4" s="31">
        <v>18.3</v>
      </c>
      <c r="AF4" s="30">
        <v>1444000</v>
      </c>
      <c r="AG4" s="31">
        <v>33.799999999999997</v>
      </c>
      <c r="AH4" s="30">
        <v>24.66</v>
      </c>
      <c r="AI4" s="31">
        <v>14</v>
      </c>
      <c r="AJ4" s="30">
        <v>-424000</v>
      </c>
      <c r="AK4" s="31">
        <v>22.53</v>
      </c>
      <c r="AL4" s="30">
        <v>3</v>
      </c>
      <c r="AM4" s="31">
        <v>3</v>
      </c>
      <c r="AN4" s="31"/>
    </row>
    <row r="5" spans="1:40" x14ac:dyDescent="0.45">
      <c r="A5" s="132" t="s">
        <v>572</v>
      </c>
      <c r="B5" s="36">
        <v>11.1</v>
      </c>
      <c r="C5" s="133">
        <v>100</v>
      </c>
      <c r="D5" s="36">
        <v>65</v>
      </c>
      <c r="E5" s="36">
        <v>9</v>
      </c>
      <c r="F5" s="36">
        <v>10</v>
      </c>
      <c r="G5" s="36">
        <v>5</v>
      </c>
      <c r="H5" s="35">
        <v>1410</v>
      </c>
      <c r="I5" s="132" t="s">
        <v>108</v>
      </c>
      <c r="J5" s="36">
        <v>49</v>
      </c>
      <c r="K5" s="36">
        <v>54</v>
      </c>
      <c r="L5" s="36">
        <v>11.4</v>
      </c>
      <c r="M5" s="132" t="s">
        <v>80</v>
      </c>
      <c r="N5" s="36">
        <v>39</v>
      </c>
      <c r="O5" s="36">
        <v>38</v>
      </c>
      <c r="P5" s="36">
        <v>12.5</v>
      </c>
      <c r="Q5" s="35">
        <v>33.199999999999996</v>
      </c>
      <c r="R5" s="36">
        <v>15.9</v>
      </c>
      <c r="S5" s="36">
        <v>67.8</v>
      </c>
      <c r="T5" s="36">
        <v>49.400000000000006</v>
      </c>
      <c r="U5" s="36">
        <v>27.400000000000002</v>
      </c>
      <c r="V5" s="36">
        <v>34.200000000000003</v>
      </c>
      <c r="W5" s="36">
        <v>17.2</v>
      </c>
      <c r="X5" s="35">
        <v>0.32100000000000001</v>
      </c>
      <c r="Y5" s="36">
        <v>28.94</v>
      </c>
      <c r="Z5" s="106">
        <v>1406000</v>
      </c>
      <c r="AA5" s="36">
        <v>21050</v>
      </c>
      <c r="AB5" s="36">
        <v>31.5</v>
      </c>
      <c r="AC5" s="35">
        <v>467000</v>
      </c>
      <c r="AD5" s="36">
        <v>9520</v>
      </c>
      <c r="AE5" s="36">
        <v>18.2</v>
      </c>
      <c r="AF5" s="35">
        <v>1600000</v>
      </c>
      <c r="AG5" s="36">
        <v>33.6</v>
      </c>
      <c r="AH5" s="35">
        <v>27.37</v>
      </c>
      <c r="AI5" s="36">
        <v>13.899999999999999</v>
      </c>
      <c r="AJ5" s="35">
        <v>-468000</v>
      </c>
      <c r="AK5" s="36">
        <v>22.44</v>
      </c>
      <c r="AL5" s="35">
        <v>1</v>
      </c>
      <c r="AM5" s="36">
        <v>3</v>
      </c>
      <c r="AN5" s="36"/>
    </row>
    <row r="6" spans="1:40" x14ac:dyDescent="0.45">
      <c r="A6" s="134" t="s">
        <v>573</v>
      </c>
      <c r="B6" s="31">
        <v>12.3</v>
      </c>
      <c r="C6" s="130">
        <v>100</v>
      </c>
      <c r="D6" s="31">
        <v>65</v>
      </c>
      <c r="E6" s="31">
        <v>10</v>
      </c>
      <c r="F6" s="31">
        <v>10</v>
      </c>
      <c r="G6" s="31">
        <v>5</v>
      </c>
      <c r="H6" s="30">
        <v>1560</v>
      </c>
      <c r="I6" s="131" t="s">
        <v>110</v>
      </c>
      <c r="J6" s="31">
        <v>50</v>
      </c>
      <c r="K6" s="31">
        <v>54</v>
      </c>
      <c r="L6" s="31">
        <v>12.6</v>
      </c>
      <c r="M6" s="131" t="s">
        <v>78</v>
      </c>
      <c r="N6" s="31">
        <v>40</v>
      </c>
      <c r="O6" s="31">
        <v>38</v>
      </c>
      <c r="P6" s="31">
        <v>13.8</v>
      </c>
      <c r="Q6" s="30">
        <v>33.6</v>
      </c>
      <c r="R6" s="31">
        <v>16.299999999999997</v>
      </c>
      <c r="S6" s="31">
        <v>67.599999999999994</v>
      </c>
      <c r="T6" s="31">
        <v>49.6</v>
      </c>
      <c r="U6" s="31">
        <v>27.9</v>
      </c>
      <c r="V6" s="31">
        <v>34.1</v>
      </c>
      <c r="W6" s="31">
        <v>17.5</v>
      </c>
      <c r="X6" s="30">
        <v>0.32100000000000001</v>
      </c>
      <c r="Y6" s="31">
        <v>26.23</v>
      </c>
      <c r="Z6" s="103">
        <v>1540000</v>
      </c>
      <c r="AA6" s="31">
        <v>23200</v>
      </c>
      <c r="AB6" s="31">
        <v>31.400000000000002</v>
      </c>
      <c r="AC6" s="30">
        <v>509799.99999999994</v>
      </c>
      <c r="AD6" s="31">
        <v>10480</v>
      </c>
      <c r="AE6" s="31">
        <v>18.100000000000001</v>
      </c>
      <c r="AF6" s="30">
        <v>1750000</v>
      </c>
      <c r="AG6" s="31">
        <v>33.5</v>
      </c>
      <c r="AH6" s="30">
        <v>30.03</v>
      </c>
      <c r="AI6" s="31">
        <v>13.899999999999999</v>
      </c>
      <c r="AJ6" s="30">
        <v>-510000</v>
      </c>
      <c r="AK6" s="31">
        <v>22.35</v>
      </c>
      <c r="AL6" s="30">
        <v>1</v>
      </c>
      <c r="AM6" s="31">
        <v>2</v>
      </c>
      <c r="AN6" s="31"/>
    </row>
    <row r="7" spans="1:40" x14ac:dyDescent="0.45">
      <c r="A7" s="132" t="s">
        <v>574</v>
      </c>
      <c r="B7" s="36">
        <v>14.5</v>
      </c>
      <c r="C7" s="133">
        <v>100</v>
      </c>
      <c r="D7" s="36">
        <v>65</v>
      </c>
      <c r="E7" s="36">
        <v>12</v>
      </c>
      <c r="F7" s="36">
        <v>10</v>
      </c>
      <c r="G7" s="36">
        <v>5</v>
      </c>
      <c r="H7" s="35">
        <v>1850</v>
      </c>
      <c r="I7" s="132" t="s">
        <v>108</v>
      </c>
      <c r="J7" s="36">
        <v>52</v>
      </c>
      <c r="K7" s="36">
        <v>54</v>
      </c>
      <c r="L7" s="36">
        <v>14.9</v>
      </c>
      <c r="M7" s="132" t="s">
        <v>80</v>
      </c>
      <c r="N7" s="36">
        <v>42</v>
      </c>
      <c r="O7" s="36">
        <v>38</v>
      </c>
      <c r="P7" s="36">
        <v>16.3</v>
      </c>
      <c r="Q7" s="35">
        <v>34.4</v>
      </c>
      <c r="R7" s="36">
        <v>17.100000000000001</v>
      </c>
      <c r="S7" s="36">
        <v>67.2</v>
      </c>
      <c r="T7" s="36">
        <v>49.900000000000006</v>
      </c>
      <c r="U7" s="36">
        <v>28.799999999999997</v>
      </c>
      <c r="V7" s="36">
        <v>34</v>
      </c>
      <c r="W7" s="36">
        <v>18.100000000000001</v>
      </c>
      <c r="X7" s="35">
        <v>0.32100000000000001</v>
      </c>
      <c r="Y7" s="36">
        <v>22.17</v>
      </c>
      <c r="Z7" s="106">
        <v>1796000</v>
      </c>
      <c r="AA7" s="36">
        <v>27380</v>
      </c>
      <c r="AB7" s="36">
        <v>31.200000000000003</v>
      </c>
      <c r="AC7" s="35">
        <v>590700</v>
      </c>
      <c r="AD7" s="36">
        <v>12330</v>
      </c>
      <c r="AE7" s="36">
        <v>17.899999999999999</v>
      </c>
      <c r="AF7" s="35">
        <v>2034000</v>
      </c>
      <c r="AG7" s="36">
        <v>33.199999999999996</v>
      </c>
      <c r="AH7" s="35">
        <v>35.229999999999997</v>
      </c>
      <c r="AI7" s="36">
        <v>13.799999999999999</v>
      </c>
      <c r="AJ7" s="35">
        <v>-587000</v>
      </c>
      <c r="AK7" s="36">
        <v>22.11</v>
      </c>
      <c r="AL7" s="35">
        <v>1</v>
      </c>
      <c r="AM7" s="36">
        <v>1</v>
      </c>
      <c r="AN7" s="36"/>
    </row>
    <row r="8" spans="1:40" x14ac:dyDescent="0.45">
      <c r="A8" s="132" t="s">
        <v>575</v>
      </c>
      <c r="B8" s="36">
        <v>13.4</v>
      </c>
      <c r="C8" s="133">
        <v>110</v>
      </c>
      <c r="D8" s="36">
        <v>70</v>
      </c>
      <c r="E8" s="36">
        <v>10</v>
      </c>
      <c r="F8" s="36">
        <v>10</v>
      </c>
      <c r="G8" s="36">
        <v>5</v>
      </c>
      <c r="H8" s="35">
        <v>1710.0000000000002</v>
      </c>
      <c r="I8" s="132" t="s">
        <v>108</v>
      </c>
      <c r="J8" s="36">
        <v>50</v>
      </c>
      <c r="K8" s="36">
        <v>64</v>
      </c>
      <c r="L8" s="36">
        <v>14.1</v>
      </c>
      <c r="M8" s="132" t="s">
        <v>80</v>
      </c>
      <c r="N8" s="36">
        <v>40</v>
      </c>
      <c r="O8" s="36">
        <v>43</v>
      </c>
      <c r="P8" s="36">
        <v>15.3</v>
      </c>
      <c r="Q8" s="35">
        <v>36.9</v>
      </c>
      <c r="R8" s="36">
        <v>17.2</v>
      </c>
      <c r="S8" s="36">
        <v>74.3</v>
      </c>
      <c r="T8" s="36">
        <v>53.8</v>
      </c>
      <c r="U8" s="36">
        <v>29.6</v>
      </c>
      <c r="V8" s="36">
        <v>37.299999999999997</v>
      </c>
      <c r="W8" s="36">
        <v>18.400000000000002</v>
      </c>
      <c r="X8" s="35">
        <v>0.35099999999999998</v>
      </c>
      <c r="Y8" s="36">
        <v>26.17</v>
      </c>
      <c r="Z8" s="106">
        <v>2066000</v>
      </c>
      <c r="AA8" s="36">
        <v>28270</v>
      </c>
      <c r="AB8" s="36">
        <v>34.799999999999997</v>
      </c>
      <c r="AC8" s="35">
        <v>650699.99999999988</v>
      </c>
      <c r="AD8" s="36">
        <v>12310</v>
      </c>
      <c r="AE8" s="36">
        <v>19.5</v>
      </c>
      <c r="AF8" s="35">
        <v>2332000</v>
      </c>
      <c r="AG8" s="36">
        <v>36.9</v>
      </c>
      <c r="AH8" s="35">
        <v>38.54</v>
      </c>
      <c r="AI8" s="36">
        <v>15</v>
      </c>
      <c r="AJ8" s="35">
        <v>-668000</v>
      </c>
      <c r="AK8" s="36">
        <v>21.67</v>
      </c>
      <c r="AL8" s="35">
        <v>1</v>
      </c>
      <c r="AM8" s="36">
        <v>3</v>
      </c>
      <c r="AN8" s="36"/>
    </row>
    <row r="9" spans="1:40" x14ac:dyDescent="0.45">
      <c r="A9" s="129" t="s">
        <v>576</v>
      </c>
      <c r="B9" s="31">
        <v>15.9</v>
      </c>
      <c r="C9" s="130">
        <v>110</v>
      </c>
      <c r="D9" s="31">
        <v>70</v>
      </c>
      <c r="E9" s="31">
        <v>12</v>
      </c>
      <c r="F9" s="31">
        <v>10</v>
      </c>
      <c r="G9" s="31">
        <v>5</v>
      </c>
      <c r="H9" s="30">
        <v>2030</v>
      </c>
      <c r="I9" s="131" t="s">
        <v>110</v>
      </c>
      <c r="J9" s="31">
        <v>52</v>
      </c>
      <c r="K9" s="31">
        <v>64</v>
      </c>
      <c r="L9" s="31">
        <v>16.7</v>
      </c>
      <c r="M9" s="131" t="s">
        <v>78</v>
      </c>
      <c r="N9" s="31">
        <v>42</v>
      </c>
      <c r="O9" s="31">
        <v>43</v>
      </c>
      <c r="P9" s="31">
        <v>18.100000000000001</v>
      </c>
      <c r="Q9" s="30">
        <v>37.700000000000003</v>
      </c>
      <c r="R9" s="31">
        <v>17.899999999999999</v>
      </c>
      <c r="S9" s="31">
        <v>73.8</v>
      </c>
      <c r="T9" s="31">
        <v>54.2</v>
      </c>
      <c r="U9" s="31">
        <v>30.5</v>
      </c>
      <c r="V9" s="31">
        <v>37.200000000000003</v>
      </c>
      <c r="W9" s="31">
        <v>19</v>
      </c>
      <c r="X9" s="30">
        <v>0.35099999999999998</v>
      </c>
      <c r="Y9" s="31">
        <v>22.09</v>
      </c>
      <c r="Z9" s="103">
        <v>2415000</v>
      </c>
      <c r="AA9" s="31">
        <v>33400</v>
      </c>
      <c r="AB9" s="31">
        <v>34.5</v>
      </c>
      <c r="AC9" s="30">
        <v>755400.00000000012</v>
      </c>
      <c r="AD9" s="31">
        <v>14510</v>
      </c>
      <c r="AE9" s="31">
        <v>19.3</v>
      </c>
      <c r="AF9" s="30">
        <v>2718000</v>
      </c>
      <c r="AG9" s="31">
        <v>36.6</v>
      </c>
      <c r="AH9" s="30">
        <v>45.22</v>
      </c>
      <c r="AI9" s="31">
        <v>14.9</v>
      </c>
      <c r="AJ9" s="30">
        <v>-771000</v>
      </c>
      <c r="AK9" s="31">
        <v>21.46</v>
      </c>
      <c r="AL9" s="30">
        <v>1</v>
      </c>
      <c r="AM9" s="31">
        <v>2</v>
      </c>
      <c r="AN9" s="31"/>
    </row>
    <row r="10" spans="1:40" x14ac:dyDescent="0.45">
      <c r="A10" s="134" t="s">
        <v>577</v>
      </c>
      <c r="B10" s="31">
        <v>12.2</v>
      </c>
      <c r="C10" s="130">
        <v>120</v>
      </c>
      <c r="D10" s="31">
        <v>80</v>
      </c>
      <c r="E10" s="31">
        <v>8</v>
      </c>
      <c r="F10" s="31">
        <v>11</v>
      </c>
      <c r="G10" s="31">
        <v>5.5</v>
      </c>
      <c r="H10" s="30">
        <v>1550</v>
      </c>
      <c r="I10" s="131" t="s">
        <v>110</v>
      </c>
      <c r="J10" s="31">
        <v>48</v>
      </c>
      <c r="K10" s="31">
        <v>73</v>
      </c>
      <c r="L10" s="31">
        <v>13.1</v>
      </c>
      <c r="M10" s="131" t="s">
        <v>78</v>
      </c>
      <c r="N10" s="31">
        <v>38</v>
      </c>
      <c r="O10" s="31">
        <v>52</v>
      </c>
      <c r="P10" s="31">
        <v>14</v>
      </c>
      <c r="Q10" s="30">
        <v>38.299999999999997</v>
      </c>
      <c r="R10" s="31">
        <v>18.700000000000003</v>
      </c>
      <c r="S10" s="31">
        <v>82.300000000000011</v>
      </c>
      <c r="T10" s="31">
        <v>59.699999999999996</v>
      </c>
      <c r="U10" s="31">
        <v>32.5</v>
      </c>
      <c r="V10" s="31">
        <v>41.900000000000006</v>
      </c>
      <c r="W10" s="31">
        <v>20.9</v>
      </c>
      <c r="X10" s="30">
        <v>0.39100000000000001</v>
      </c>
      <c r="Y10" s="31">
        <v>32.119999999999997</v>
      </c>
      <c r="Z10" s="103">
        <v>2257000</v>
      </c>
      <c r="AA10" s="31">
        <v>27630</v>
      </c>
      <c r="AB10" s="31">
        <v>38.199999999999996</v>
      </c>
      <c r="AC10" s="30">
        <v>807600</v>
      </c>
      <c r="AD10" s="31">
        <v>13170</v>
      </c>
      <c r="AE10" s="31">
        <v>22.799999999999997</v>
      </c>
      <c r="AF10" s="30">
        <v>2600000</v>
      </c>
      <c r="AG10" s="31">
        <v>41</v>
      </c>
      <c r="AH10" s="30">
        <v>46.39</v>
      </c>
      <c r="AI10" s="31">
        <v>17.3</v>
      </c>
      <c r="AJ10" s="30">
        <v>-785000</v>
      </c>
      <c r="AK10" s="31">
        <v>23.65</v>
      </c>
      <c r="AL10" s="30">
        <v>3</v>
      </c>
      <c r="AM10" s="31">
        <v>4</v>
      </c>
      <c r="AN10" s="31"/>
    </row>
    <row r="11" spans="1:40" x14ac:dyDescent="0.45">
      <c r="A11" s="137" t="s">
        <v>578</v>
      </c>
      <c r="B11" s="36">
        <v>15</v>
      </c>
      <c r="C11" s="133">
        <v>120</v>
      </c>
      <c r="D11" s="36">
        <v>80</v>
      </c>
      <c r="E11" s="36">
        <v>10</v>
      </c>
      <c r="F11" s="36">
        <v>11</v>
      </c>
      <c r="G11" s="36">
        <v>5.5</v>
      </c>
      <c r="H11" s="35">
        <v>1910.0000000000002</v>
      </c>
      <c r="I11" s="132" t="s">
        <v>108</v>
      </c>
      <c r="J11" s="36">
        <v>50</v>
      </c>
      <c r="K11" s="36">
        <v>73</v>
      </c>
      <c r="L11" s="36">
        <v>16.100000000000001</v>
      </c>
      <c r="M11" s="132" t="s">
        <v>80</v>
      </c>
      <c r="N11" s="36">
        <v>40</v>
      </c>
      <c r="O11" s="36">
        <v>52</v>
      </c>
      <c r="P11" s="36">
        <v>17.3</v>
      </c>
      <c r="Q11" s="35">
        <v>39.200000000000003</v>
      </c>
      <c r="R11" s="36">
        <v>19.5</v>
      </c>
      <c r="S11" s="36">
        <v>81.899999999999991</v>
      </c>
      <c r="T11" s="36">
        <v>60.099999999999994</v>
      </c>
      <c r="U11" s="36">
        <v>33.5</v>
      </c>
      <c r="V11" s="36">
        <v>41.7</v>
      </c>
      <c r="W11" s="36">
        <v>21.5</v>
      </c>
      <c r="X11" s="35">
        <v>0.39100000000000001</v>
      </c>
      <c r="Y11" s="36">
        <v>26.01</v>
      </c>
      <c r="Z11" s="106">
        <v>2755000</v>
      </c>
      <c r="AA11" s="36">
        <v>34100</v>
      </c>
      <c r="AB11" s="36">
        <v>38</v>
      </c>
      <c r="AC11" s="35">
        <v>981100</v>
      </c>
      <c r="AD11" s="36">
        <v>16210</v>
      </c>
      <c r="AE11" s="36">
        <v>22.599999999999998</v>
      </c>
      <c r="AF11" s="35">
        <v>3170000</v>
      </c>
      <c r="AG11" s="36">
        <v>40.700000000000003</v>
      </c>
      <c r="AH11" s="35">
        <v>56.6</v>
      </c>
      <c r="AI11" s="36">
        <v>17.2</v>
      </c>
      <c r="AJ11" s="35">
        <v>-953000</v>
      </c>
      <c r="AK11" s="36">
        <v>23.53</v>
      </c>
      <c r="AL11" s="35">
        <v>2</v>
      </c>
      <c r="AM11" s="36">
        <v>3</v>
      </c>
      <c r="AN11" s="36"/>
    </row>
    <row r="12" spans="1:40" x14ac:dyDescent="0.45">
      <c r="A12" s="134" t="s">
        <v>579</v>
      </c>
      <c r="B12" s="31">
        <v>17.8</v>
      </c>
      <c r="C12" s="130">
        <v>120</v>
      </c>
      <c r="D12" s="31">
        <v>80</v>
      </c>
      <c r="E12" s="31">
        <v>12</v>
      </c>
      <c r="F12" s="31">
        <v>11</v>
      </c>
      <c r="G12" s="31">
        <v>5.5</v>
      </c>
      <c r="H12" s="30">
        <v>2270</v>
      </c>
      <c r="I12" s="131" t="s">
        <v>110</v>
      </c>
      <c r="J12" s="31">
        <v>52</v>
      </c>
      <c r="K12" s="31">
        <v>73</v>
      </c>
      <c r="L12" s="31">
        <v>19.100000000000001</v>
      </c>
      <c r="M12" s="131" t="s">
        <v>78</v>
      </c>
      <c r="N12" s="31">
        <v>42</v>
      </c>
      <c r="O12" s="31">
        <v>52</v>
      </c>
      <c r="P12" s="31">
        <v>20.5</v>
      </c>
      <c r="Q12" s="30">
        <v>40</v>
      </c>
      <c r="R12" s="31">
        <v>20.299999999999997</v>
      </c>
      <c r="S12" s="31">
        <v>81.400000000000006</v>
      </c>
      <c r="T12" s="31">
        <v>60.4</v>
      </c>
      <c r="U12" s="31">
        <v>34.5</v>
      </c>
      <c r="V12" s="31">
        <v>41.6</v>
      </c>
      <c r="W12" s="31">
        <v>22</v>
      </c>
      <c r="X12" s="30">
        <v>0.39100000000000001</v>
      </c>
      <c r="Y12" s="31">
        <v>21.93</v>
      </c>
      <c r="Z12" s="103">
        <v>3228000</v>
      </c>
      <c r="AA12" s="31">
        <v>40370</v>
      </c>
      <c r="AB12" s="31">
        <v>37.700000000000003</v>
      </c>
      <c r="AC12" s="30">
        <v>1143000</v>
      </c>
      <c r="AD12" s="31">
        <v>19140</v>
      </c>
      <c r="AE12" s="31">
        <v>22.400000000000002</v>
      </c>
      <c r="AF12" s="30">
        <v>3707000</v>
      </c>
      <c r="AG12" s="31">
        <v>40.4</v>
      </c>
      <c r="AH12" s="30">
        <v>66.45</v>
      </c>
      <c r="AI12" s="31">
        <v>17.100000000000001</v>
      </c>
      <c r="AJ12" s="30">
        <v>-1108000</v>
      </c>
      <c r="AK12" s="31">
        <v>23.37</v>
      </c>
      <c r="AL12" s="30">
        <v>1</v>
      </c>
      <c r="AM12" s="31">
        <v>2</v>
      </c>
      <c r="AN12" s="31"/>
    </row>
    <row r="13" spans="1:40" x14ac:dyDescent="0.45">
      <c r="A13" s="134" t="s">
        <v>580</v>
      </c>
      <c r="B13" s="31">
        <v>12.2</v>
      </c>
      <c r="C13" s="130">
        <v>125</v>
      </c>
      <c r="D13" s="31">
        <v>75</v>
      </c>
      <c r="E13" s="31">
        <v>8</v>
      </c>
      <c r="F13" s="31">
        <v>11</v>
      </c>
      <c r="G13" s="31">
        <v>5.5</v>
      </c>
      <c r="H13" s="30">
        <v>1550</v>
      </c>
      <c r="I13" s="131" t="s">
        <v>110</v>
      </c>
      <c r="J13" s="31">
        <v>48</v>
      </c>
      <c r="K13" s="31">
        <v>78</v>
      </c>
      <c r="L13" s="31">
        <v>13.1</v>
      </c>
      <c r="M13" s="131" t="s">
        <v>78</v>
      </c>
      <c r="N13" s="31">
        <v>38</v>
      </c>
      <c r="O13" s="31">
        <v>47</v>
      </c>
      <c r="P13" s="31">
        <v>14</v>
      </c>
      <c r="Q13" s="30">
        <v>41.4</v>
      </c>
      <c r="R13" s="31">
        <v>16.8</v>
      </c>
      <c r="S13" s="31">
        <v>84.399999999999991</v>
      </c>
      <c r="T13" s="31">
        <v>58.7</v>
      </c>
      <c r="U13" s="31">
        <v>29.8</v>
      </c>
      <c r="V13" s="31">
        <v>41.4</v>
      </c>
      <c r="W13" s="31">
        <v>18.100000000000001</v>
      </c>
      <c r="X13" s="30">
        <v>0.39100000000000001</v>
      </c>
      <c r="Y13" s="31">
        <v>32.119999999999997</v>
      </c>
      <c r="Z13" s="103">
        <v>2473000</v>
      </c>
      <c r="AA13" s="31">
        <v>29570</v>
      </c>
      <c r="AB13" s="31">
        <v>40</v>
      </c>
      <c r="AC13" s="30">
        <v>676100</v>
      </c>
      <c r="AD13" s="31">
        <v>11610</v>
      </c>
      <c r="AE13" s="31">
        <v>20.9</v>
      </c>
      <c r="AF13" s="30">
        <v>2742000</v>
      </c>
      <c r="AG13" s="31">
        <v>42.1</v>
      </c>
      <c r="AH13" s="30">
        <v>40.71</v>
      </c>
      <c r="AI13" s="31">
        <v>16.200000000000003</v>
      </c>
      <c r="AJ13" s="30">
        <v>-745000</v>
      </c>
      <c r="AK13" s="31">
        <v>19.84</v>
      </c>
      <c r="AL13" s="30">
        <v>3</v>
      </c>
      <c r="AM13" s="31">
        <v>4</v>
      </c>
      <c r="AN13" s="31"/>
    </row>
    <row r="14" spans="1:40" x14ac:dyDescent="0.45">
      <c r="A14" s="132" t="s">
        <v>581</v>
      </c>
      <c r="B14" s="36">
        <v>13.6</v>
      </c>
      <c r="C14" s="133">
        <v>125</v>
      </c>
      <c r="D14" s="36">
        <v>75</v>
      </c>
      <c r="E14" s="36">
        <v>9</v>
      </c>
      <c r="F14" s="36">
        <v>11</v>
      </c>
      <c r="G14" s="36">
        <v>5.5</v>
      </c>
      <c r="H14" s="35">
        <v>1730</v>
      </c>
      <c r="I14" s="132" t="s">
        <v>108</v>
      </c>
      <c r="J14" s="36">
        <v>49</v>
      </c>
      <c r="K14" s="36">
        <v>78</v>
      </c>
      <c r="L14" s="36">
        <v>14.6</v>
      </c>
      <c r="M14" s="132" t="s">
        <v>80</v>
      </c>
      <c r="N14" s="36">
        <v>39</v>
      </c>
      <c r="O14" s="36">
        <v>47</v>
      </c>
      <c r="P14" s="36">
        <v>15.7</v>
      </c>
      <c r="Q14" s="35">
        <v>41.8</v>
      </c>
      <c r="R14" s="36">
        <v>17.2</v>
      </c>
      <c r="S14" s="36">
        <v>84.1</v>
      </c>
      <c r="T14" s="36">
        <v>58.9</v>
      </c>
      <c r="U14" s="36">
        <v>30.299999999999997</v>
      </c>
      <c r="V14" s="36">
        <v>41.2</v>
      </c>
      <c r="W14" s="36">
        <v>18.400000000000002</v>
      </c>
      <c r="X14" s="35">
        <v>0.39100000000000001</v>
      </c>
      <c r="Y14" s="36">
        <v>28.73</v>
      </c>
      <c r="Z14" s="106">
        <v>2750000</v>
      </c>
      <c r="AA14" s="36">
        <v>33060</v>
      </c>
      <c r="AB14" s="36">
        <v>39.799999999999997</v>
      </c>
      <c r="AC14" s="35">
        <v>749599.99999999988</v>
      </c>
      <c r="AD14" s="36">
        <v>12970</v>
      </c>
      <c r="AE14" s="36">
        <v>20.8</v>
      </c>
      <c r="AF14" s="35">
        <v>3048000</v>
      </c>
      <c r="AG14" s="36">
        <v>41.900000000000006</v>
      </c>
      <c r="AH14" s="35">
        <v>45.23</v>
      </c>
      <c r="AI14" s="36">
        <v>16.200000000000003</v>
      </c>
      <c r="AJ14" s="35">
        <v>-827000</v>
      </c>
      <c r="AK14" s="36">
        <v>19.78</v>
      </c>
      <c r="AL14" s="35">
        <v>3</v>
      </c>
      <c r="AM14" s="36">
        <v>3</v>
      </c>
      <c r="AN14" s="36"/>
    </row>
    <row r="15" spans="1:40" x14ac:dyDescent="0.45">
      <c r="A15" s="134" t="s">
        <v>582</v>
      </c>
      <c r="B15" s="31">
        <v>15</v>
      </c>
      <c r="C15" s="130">
        <v>125</v>
      </c>
      <c r="D15" s="31">
        <v>75</v>
      </c>
      <c r="E15" s="31">
        <v>10</v>
      </c>
      <c r="F15" s="31">
        <v>11</v>
      </c>
      <c r="G15" s="31">
        <v>5.5</v>
      </c>
      <c r="H15" s="30">
        <v>1910.0000000000002</v>
      </c>
      <c r="I15" s="131" t="s">
        <v>110</v>
      </c>
      <c r="J15" s="31">
        <v>50</v>
      </c>
      <c r="K15" s="31">
        <v>78</v>
      </c>
      <c r="L15" s="31">
        <v>16.100000000000001</v>
      </c>
      <c r="M15" s="131" t="s">
        <v>78</v>
      </c>
      <c r="N15" s="31">
        <v>40</v>
      </c>
      <c r="O15" s="31">
        <v>47</v>
      </c>
      <c r="P15" s="31">
        <v>17.3</v>
      </c>
      <c r="Q15" s="30">
        <v>42.300000000000004</v>
      </c>
      <c r="R15" s="31">
        <v>17.600000000000001</v>
      </c>
      <c r="S15" s="31">
        <v>83.800000000000011</v>
      </c>
      <c r="T15" s="31">
        <v>59.1</v>
      </c>
      <c r="U15" s="31">
        <v>30.8</v>
      </c>
      <c r="V15" s="31">
        <v>41.1</v>
      </c>
      <c r="W15" s="31">
        <v>18.700000000000003</v>
      </c>
      <c r="X15" s="30">
        <v>0.39100000000000001</v>
      </c>
      <c r="Y15" s="31">
        <v>26.01</v>
      </c>
      <c r="Z15" s="103">
        <v>3020000</v>
      </c>
      <c r="AA15" s="31">
        <v>36500</v>
      </c>
      <c r="AB15" s="31">
        <v>39.700000000000003</v>
      </c>
      <c r="AC15" s="30">
        <v>820500</v>
      </c>
      <c r="AD15" s="31">
        <v>14290</v>
      </c>
      <c r="AE15" s="31">
        <v>20.7</v>
      </c>
      <c r="AF15" s="30">
        <v>3344000</v>
      </c>
      <c r="AG15" s="31">
        <v>41.8</v>
      </c>
      <c r="AH15" s="30">
        <v>49.65</v>
      </c>
      <c r="AI15" s="31">
        <v>16.100000000000001</v>
      </c>
      <c r="AJ15" s="30">
        <v>-904000</v>
      </c>
      <c r="AK15" s="31">
        <v>19.71</v>
      </c>
      <c r="AL15" s="30">
        <v>3</v>
      </c>
      <c r="AM15" s="31">
        <v>3</v>
      </c>
      <c r="AN15" s="31"/>
    </row>
    <row r="16" spans="1:40" x14ac:dyDescent="0.45">
      <c r="A16" s="137" t="s">
        <v>583</v>
      </c>
      <c r="B16" s="36">
        <v>17.8</v>
      </c>
      <c r="C16" s="133">
        <v>125</v>
      </c>
      <c r="D16" s="36">
        <v>75</v>
      </c>
      <c r="E16" s="36">
        <v>12</v>
      </c>
      <c r="F16" s="36">
        <v>11</v>
      </c>
      <c r="G16" s="36">
        <v>5.5</v>
      </c>
      <c r="H16" s="35">
        <v>2270</v>
      </c>
      <c r="I16" s="132" t="s">
        <v>108</v>
      </c>
      <c r="J16" s="36">
        <v>52</v>
      </c>
      <c r="K16" s="36">
        <v>78</v>
      </c>
      <c r="L16" s="36">
        <v>19.100000000000001</v>
      </c>
      <c r="M16" s="132" t="s">
        <v>80</v>
      </c>
      <c r="N16" s="36">
        <v>42</v>
      </c>
      <c r="O16" s="36">
        <v>47</v>
      </c>
      <c r="P16" s="36">
        <v>20.5</v>
      </c>
      <c r="Q16" s="35">
        <v>43.099999999999994</v>
      </c>
      <c r="R16" s="36">
        <v>18.400000000000002</v>
      </c>
      <c r="S16" s="36">
        <v>83.3</v>
      </c>
      <c r="T16" s="36">
        <v>59.6</v>
      </c>
      <c r="U16" s="36">
        <v>31.7</v>
      </c>
      <c r="V16" s="36">
        <v>40.9</v>
      </c>
      <c r="W16" s="36">
        <v>19.3</v>
      </c>
      <c r="X16" s="35">
        <v>0.39100000000000001</v>
      </c>
      <c r="Y16" s="36">
        <v>21.93</v>
      </c>
      <c r="Z16" s="106">
        <v>3540000</v>
      </c>
      <c r="AA16" s="36">
        <v>43220</v>
      </c>
      <c r="AB16" s="36">
        <v>39.5</v>
      </c>
      <c r="AC16" s="35">
        <v>955200</v>
      </c>
      <c r="AD16" s="36">
        <v>16870</v>
      </c>
      <c r="AE16" s="36">
        <v>20.5</v>
      </c>
      <c r="AF16" s="35">
        <v>3912000</v>
      </c>
      <c r="AG16" s="36">
        <v>41.5</v>
      </c>
      <c r="AH16" s="35">
        <v>58.28</v>
      </c>
      <c r="AI16" s="36">
        <v>16</v>
      </c>
      <c r="AJ16" s="35">
        <v>-1049000</v>
      </c>
      <c r="AK16" s="36">
        <v>19.54</v>
      </c>
      <c r="AL16" s="35">
        <v>1</v>
      </c>
      <c r="AM16" s="36">
        <v>3</v>
      </c>
      <c r="AN16" s="36"/>
    </row>
    <row r="17" spans="1:40" x14ac:dyDescent="0.45">
      <c r="A17" s="132" t="s">
        <v>584</v>
      </c>
      <c r="B17" s="36">
        <v>16.600000000000001</v>
      </c>
      <c r="C17" s="133">
        <v>130</v>
      </c>
      <c r="D17" s="36">
        <v>90</v>
      </c>
      <c r="E17" s="36">
        <v>10</v>
      </c>
      <c r="F17" s="36">
        <v>11</v>
      </c>
      <c r="G17" s="36">
        <v>5</v>
      </c>
      <c r="H17" s="35">
        <v>2120</v>
      </c>
      <c r="I17" s="132" t="s">
        <v>108</v>
      </c>
      <c r="J17" s="36">
        <v>50</v>
      </c>
      <c r="K17" s="36">
        <v>84</v>
      </c>
      <c r="L17" s="36">
        <v>18.2</v>
      </c>
      <c r="M17" s="132" t="s">
        <v>99</v>
      </c>
      <c r="N17" s="36">
        <v>50</v>
      </c>
      <c r="O17" s="36">
        <v>51</v>
      </c>
      <c r="P17" s="36">
        <v>18.600000000000001</v>
      </c>
      <c r="Q17" s="35">
        <v>41.6</v>
      </c>
      <c r="R17" s="36">
        <v>21.9</v>
      </c>
      <c r="S17" s="36">
        <v>89.3</v>
      </c>
      <c r="T17" s="36">
        <v>66.7</v>
      </c>
      <c r="U17" s="36">
        <v>37.5</v>
      </c>
      <c r="V17" s="36">
        <v>46.2</v>
      </c>
      <c r="W17" s="36">
        <v>24.900000000000002</v>
      </c>
      <c r="X17" s="35">
        <v>0.43099999999999999</v>
      </c>
      <c r="Y17" s="36">
        <v>25.96</v>
      </c>
      <c r="Z17" s="106">
        <v>3597000</v>
      </c>
      <c r="AA17" s="36">
        <v>40700</v>
      </c>
      <c r="AB17" s="36">
        <v>41.2</v>
      </c>
      <c r="AC17" s="35">
        <v>1418000</v>
      </c>
      <c r="AD17" s="36">
        <v>20820</v>
      </c>
      <c r="AE17" s="36">
        <v>25.9</v>
      </c>
      <c r="AF17" s="35">
        <v>4215000</v>
      </c>
      <c r="AG17" s="36">
        <v>44.6</v>
      </c>
      <c r="AH17" s="35">
        <v>79.92</v>
      </c>
      <c r="AI17" s="36">
        <v>19.399999999999999</v>
      </c>
      <c r="AJ17" s="35">
        <v>-1316000</v>
      </c>
      <c r="AK17" s="36">
        <v>25.19</v>
      </c>
      <c r="AL17" s="35">
        <v>3</v>
      </c>
      <c r="AM17" s="36">
        <v>3</v>
      </c>
      <c r="AN17" s="36"/>
    </row>
    <row r="18" spans="1:40" x14ac:dyDescent="0.45">
      <c r="A18" s="129" t="s">
        <v>585</v>
      </c>
      <c r="B18" s="31">
        <v>19.7</v>
      </c>
      <c r="C18" s="130">
        <v>130</v>
      </c>
      <c r="D18" s="31">
        <v>90</v>
      </c>
      <c r="E18" s="31">
        <v>12</v>
      </c>
      <c r="F18" s="31">
        <v>12</v>
      </c>
      <c r="G18" s="31">
        <v>6</v>
      </c>
      <c r="H18" s="30">
        <v>2510</v>
      </c>
      <c r="I18" s="131" t="s">
        <v>110</v>
      </c>
      <c r="J18" s="31">
        <v>52</v>
      </c>
      <c r="K18" s="31">
        <v>83</v>
      </c>
      <c r="L18" s="31">
        <v>21.5</v>
      </c>
      <c r="M18" s="131" t="s">
        <v>97</v>
      </c>
      <c r="N18" s="31">
        <v>52</v>
      </c>
      <c r="O18" s="31">
        <v>52</v>
      </c>
      <c r="P18" s="31">
        <v>22</v>
      </c>
      <c r="Q18" s="30">
        <v>42.400000000000006</v>
      </c>
      <c r="R18" s="31">
        <v>22.599999999999998</v>
      </c>
      <c r="S18" s="31">
        <v>89</v>
      </c>
      <c r="T18" s="31">
        <v>66.900000000000006</v>
      </c>
      <c r="U18" s="31">
        <v>38.4</v>
      </c>
      <c r="V18" s="31">
        <v>45.9</v>
      </c>
      <c r="W18" s="31">
        <v>25.099999999999998</v>
      </c>
      <c r="X18" s="30">
        <v>0.43</v>
      </c>
      <c r="Y18" s="31">
        <v>21.8</v>
      </c>
      <c r="Z18" s="103">
        <v>4204000</v>
      </c>
      <c r="AA18" s="31">
        <v>47970</v>
      </c>
      <c r="AB18" s="31">
        <v>40.9</v>
      </c>
      <c r="AC18" s="30">
        <v>1645000</v>
      </c>
      <c r="AD18" s="31">
        <v>24420</v>
      </c>
      <c r="AE18" s="31">
        <v>25.6</v>
      </c>
      <c r="AF18" s="30">
        <v>4916000</v>
      </c>
      <c r="AG18" s="31">
        <v>44.2</v>
      </c>
      <c r="AH18" s="30">
        <v>93.31</v>
      </c>
      <c r="AI18" s="31">
        <v>19.3</v>
      </c>
      <c r="AJ18" s="30">
        <v>-1526000</v>
      </c>
      <c r="AK18" s="31">
        <v>25.02</v>
      </c>
      <c r="AL18" s="30">
        <v>1</v>
      </c>
      <c r="AM18" s="31">
        <v>3</v>
      </c>
      <c r="AN18" s="31"/>
    </row>
    <row r="19" spans="1:40" x14ac:dyDescent="0.45">
      <c r="A19" s="132" t="s">
        <v>586</v>
      </c>
      <c r="B19" s="36">
        <v>22.8</v>
      </c>
      <c r="C19" s="133">
        <v>130</v>
      </c>
      <c r="D19" s="36">
        <v>90</v>
      </c>
      <c r="E19" s="36">
        <v>14</v>
      </c>
      <c r="F19" s="36">
        <v>11</v>
      </c>
      <c r="G19" s="36">
        <v>5</v>
      </c>
      <c r="H19" s="35">
        <v>2900</v>
      </c>
      <c r="I19" s="132" t="s">
        <v>108</v>
      </c>
      <c r="J19" s="36">
        <v>54</v>
      </c>
      <c r="K19" s="36">
        <v>84</v>
      </c>
      <c r="L19" s="36">
        <v>24.8</v>
      </c>
      <c r="M19" s="132" t="s">
        <v>99</v>
      </c>
      <c r="N19" s="36">
        <v>54</v>
      </c>
      <c r="O19" s="36">
        <v>51</v>
      </c>
      <c r="P19" s="36">
        <v>25.4</v>
      </c>
      <c r="Q19" s="35">
        <v>43.3</v>
      </c>
      <c r="R19" s="36">
        <v>23.4</v>
      </c>
      <c r="S19" s="36">
        <v>88.5</v>
      </c>
      <c r="T19" s="36">
        <v>67.300000000000011</v>
      </c>
      <c r="U19" s="36">
        <v>39.5</v>
      </c>
      <c r="V19" s="36">
        <v>46.1</v>
      </c>
      <c r="W19" s="36">
        <v>26</v>
      </c>
      <c r="X19" s="35">
        <v>0.43099999999999999</v>
      </c>
      <c r="Y19" s="36">
        <v>18.940000000000001</v>
      </c>
      <c r="Z19" s="106">
        <v>4814000</v>
      </c>
      <c r="AA19" s="36">
        <v>55500</v>
      </c>
      <c r="AB19" s="36">
        <v>40.700000000000003</v>
      </c>
      <c r="AC19" s="35">
        <v>1879000</v>
      </c>
      <c r="AD19" s="36">
        <v>28240</v>
      </c>
      <c r="AE19" s="36">
        <v>25.5</v>
      </c>
      <c r="AF19" s="35">
        <v>5619000</v>
      </c>
      <c r="AG19" s="36">
        <v>44</v>
      </c>
      <c r="AH19" s="35">
        <v>107.4</v>
      </c>
      <c r="AI19" s="36">
        <v>19.3</v>
      </c>
      <c r="AJ19" s="35">
        <v>-1735000</v>
      </c>
      <c r="AK19" s="36">
        <v>24.89</v>
      </c>
      <c r="AL19" s="35">
        <v>1</v>
      </c>
      <c r="AM19" s="36">
        <v>2</v>
      </c>
      <c r="AN19" s="36"/>
    </row>
    <row r="20" spans="1:40" x14ac:dyDescent="0.45">
      <c r="A20" s="132" t="s">
        <v>587</v>
      </c>
      <c r="B20" s="36">
        <v>14</v>
      </c>
      <c r="C20" s="133">
        <v>140</v>
      </c>
      <c r="D20" s="36">
        <v>90</v>
      </c>
      <c r="E20" s="36">
        <v>8</v>
      </c>
      <c r="F20" s="36">
        <v>11</v>
      </c>
      <c r="G20" s="36">
        <v>5.5</v>
      </c>
      <c r="H20" s="35">
        <v>1789.9999999999998</v>
      </c>
      <c r="I20" s="132" t="s">
        <v>108</v>
      </c>
      <c r="J20" s="36">
        <v>48</v>
      </c>
      <c r="K20" s="36">
        <v>93</v>
      </c>
      <c r="L20" s="36">
        <v>15.5</v>
      </c>
      <c r="M20" s="132" t="s">
        <v>99</v>
      </c>
      <c r="N20" s="36">
        <v>48</v>
      </c>
      <c r="O20" s="36">
        <v>51</v>
      </c>
      <c r="P20" s="36">
        <v>15.8</v>
      </c>
      <c r="Q20" s="35">
        <v>44.900000000000006</v>
      </c>
      <c r="R20" s="36">
        <v>20.299999999999997</v>
      </c>
      <c r="S20" s="36">
        <v>95.600000000000009</v>
      </c>
      <c r="T20" s="36">
        <v>68.099999999999994</v>
      </c>
      <c r="U20" s="36">
        <v>35.799999999999997</v>
      </c>
      <c r="V20" s="36">
        <v>48.3</v>
      </c>
      <c r="W20" s="36">
        <v>22.7</v>
      </c>
      <c r="X20" s="35">
        <v>0.45100000000000001</v>
      </c>
      <c r="Y20" s="36">
        <v>32.08</v>
      </c>
      <c r="Z20" s="106">
        <v>3600000</v>
      </c>
      <c r="AA20" s="36">
        <v>37860</v>
      </c>
      <c r="AB20" s="36">
        <v>44.900000000000006</v>
      </c>
      <c r="AC20" s="35">
        <v>1182000</v>
      </c>
      <c r="AD20" s="36">
        <v>16960</v>
      </c>
      <c r="AE20" s="36">
        <v>25.7</v>
      </c>
      <c r="AF20" s="35">
        <v>4093000</v>
      </c>
      <c r="AG20" s="36">
        <v>47.800000000000004</v>
      </c>
      <c r="AH20" s="35">
        <v>68.900000000000006</v>
      </c>
      <c r="AI20" s="36">
        <v>19.600000000000001</v>
      </c>
      <c r="AJ20" s="35">
        <v>-1198000</v>
      </c>
      <c r="AK20" s="36">
        <v>22.38</v>
      </c>
      <c r="AL20" s="35">
        <v>4</v>
      </c>
      <c r="AM20" s="36">
        <v>4</v>
      </c>
      <c r="AN20" s="36"/>
    </row>
    <row r="21" spans="1:40" x14ac:dyDescent="0.45">
      <c r="A21" s="129" t="s">
        <v>588</v>
      </c>
      <c r="B21" s="31">
        <v>17.399999999999999</v>
      </c>
      <c r="C21" s="130">
        <v>140</v>
      </c>
      <c r="D21" s="31">
        <v>90</v>
      </c>
      <c r="E21" s="31">
        <v>10</v>
      </c>
      <c r="F21" s="31">
        <v>11</v>
      </c>
      <c r="G21" s="31">
        <v>5.5</v>
      </c>
      <c r="H21" s="30">
        <v>2210</v>
      </c>
      <c r="I21" s="131" t="s">
        <v>110</v>
      </c>
      <c r="J21" s="31">
        <v>50</v>
      </c>
      <c r="K21" s="31">
        <v>93</v>
      </c>
      <c r="L21" s="31">
        <v>19.100000000000001</v>
      </c>
      <c r="M21" s="131" t="s">
        <v>97</v>
      </c>
      <c r="N21" s="31">
        <v>50</v>
      </c>
      <c r="O21" s="31">
        <v>51</v>
      </c>
      <c r="P21" s="31">
        <v>19.5</v>
      </c>
      <c r="Q21" s="30">
        <v>45.8</v>
      </c>
      <c r="R21" s="31">
        <v>21.099999999999998</v>
      </c>
      <c r="S21" s="31">
        <v>95.199999999999989</v>
      </c>
      <c r="T21" s="31">
        <v>68.5</v>
      </c>
      <c r="U21" s="31">
        <v>36.9</v>
      </c>
      <c r="V21" s="31">
        <v>48.099999999999994</v>
      </c>
      <c r="W21" s="31">
        <v>23.3</v>
      </c>
      <c r="X21" s="30">
        <v>0.45100000000000001</v>
      </c>
      <c r="Y21" s="31">
        <v>25.94</v>
      </c>
      <c r="Z21" s="103">
        <v>4409000</v>
      </c>
      <c r="AA21" s="31">
        <v>46810</v>
      </c>
      <c r="AB21" s="31">
        <v>44.6</v>
      </c>
      <c r="AC21" s="30">
        <v>1441000</v>
      </c>
      <c r="AD21" s="31">
        <v>20910</v>
      </c>
      <c r="AE21" s="31">
        <v>25.5</v>
      </c>
      <c r="AF21" s="30">
        <v>5008000</v>
      </c>
      <c r="AG21" s="31">
        <v>47.599999999999994</v>
      </c>
      <c r="AH21" s="30">
        <v>84.19</v>
      </c>
      <c r="AI21" s="31">
        <v>19.5</v>
      </c>
      <c r="AJ21" s="30">
        <v>-1462000</v>
      </c>
      <c r="AK21" s="31">
        <v>22.28</v>
      </c>
      <c r="AL21" s="30">
        <v>3</v>
      </c>
      <c r="AM21" s="31">
        <v>3</v>
      </c>
      <c r="AN21" s="31"/>
    </row>
    <row r="22" spans="1:40" x14ac:dyDescent="0.45">
      <c r="A22" s="132" t="s">
        <v>589</v>
      </c>
      <c r="B22" s="36">
        <v>20.6</v>
      </c>
      <c r="C22" s="133">
        <v>140</v>
      </c>
      <c r="D22" s="36">
        <v>90</v>
      </c>
      <c r="E22" s="36">
        <v>12</v>
      </c>
      <c r="F22" s="36">
        <v>11</v>
      </c>
      <c r="G22" s="36">
        <v>5.5</v>
      </c>
      <c r="H22" s="35">
        <v>2630</v>
      </c>
      <c r="I22" s="132" t="s">
        <v>108</v>
      </c>
      <c r="J22" s="36">
        <v>52</v>
      </c>
      <c r="K22" s="36">
        <v>93</v>
      </c>
      <c r="L22" s="36">
        <v>22.7</v>
      </c>
      <c r="M22" s="132" t="s">
        <v>99</v>
      </c>
      <c r="N22" s="36">
        <v>52</v>
      </c>
      <c r="O22" s="36">
        <v>51</v>
      </c>
      <c r="P22" s="36">
        <v>23.2</v>
      </c>
      <c r="Q22" s="35">
        <v>46.6</v>
      </c>
      <c r="R22" s="36">
        <v>21.9</v>
      </c>
      <c r="S22" s="36">
        <v>94.7</v>
      </c>
      <c r="T22" s="36">
        <v>68.899999999999991</v>
      </c>
      <c r="U22" s="36">
        <v>37.9</v>
      </c>
      <c r="V22" s="36">
        <v>47.9</v>
      </c>
      <c r="W22" s="36">
        <v>23.900000000000002</v>
      </c>
      <c r="X22" s="35">
        <v>0.45100000000000001</v>
      </c>
      <c r="Y22" s="36">
        <v>21.83</v>
      </c>
      <c r="Z22" s="106">
        <v>5181000</v>
      </c>
      <c r="AA22" s="36">
        <v>55500</v>
      </c>
      <c r="AB22" s="36">
        <v>44.400000000000006</v>
      </c>
      <c r="AC22" s="35">
        <v>1684000</v>
      </c>
      <c r="AD22" s="36">
        <v>24720</v>
      </c>
      <c r="AE22" s="36">
        <v>25.299999999999997</v>
      </c>
      <c r="AF22" s="35">
        <v>5876000</v>
      </c>
      <c r="AG22" s="36">
        <v>47.300000000000004</v>
      </c>
      <c r="AH22" s="35">
        <v>98.93</v>
      </c>
      <c r="AI22" s="36">
        <v>19.399999999999999</v>
      </c>
      <c r="AJ22" s="35">
        <v>-1706000</v>
      </c>
      <c r="AK22" s="36">
        <v>22.15</v>
      </c>
      <c r="AL22" s="35">
        <v>2</v>
      </c>
      <c r="AM22" s="36">
        <v>3</v>
      </c>
      <c r="AN22" s="36"/>
    </row>
    <row r="23" spans="1:40" x14ac:dyDescent="0.45">
      <c r="A23" s="138" t="s">
        <v>590</v>
      </c>
      <c r="B23" s="42">
        <v>23.8</v>
      </c>
      <c r="C23" s="139">
        <v>140</v>
      </c>
      <c r="D23" s="42">
        <v>90</v>
      </c>
      <c r="E23" s="42">
        <v>14</v>
      </c>
      <c r="F23" s="42">
        <v>11</v>
      </c>
      <c r="G23" s="42">
        <v>5.5</v>
      </c>
      <c r="H23" s="41">
        <v>3040</v>
      </c>
      <c r="I23" s="131" t="s">
        <v>110</v>
      </c>
      <c r="J23" s="31">
        <v>54</v>
      </c>
      <c r="K23" s="31">
        <v>93</v>
      </c>
      <c r="L23" s="31">
        <v>26.2</v>
      </c>
      <c r="M23" s="131" t="s">
        <v>97</v>
      </c>
      <c r="N23" s="31">
        <v>54</v>
      </c>
      <c r="O23" s="31">
        <v>51</v>
      </c>
      <c r="P23" s="31">
        <v>26.7</v>
      </c>
      <c r="Q23" s="41">
        <v>47.400000000000006</v>
      </c>
      <c r="R23" s="42">
        <v>22.7</v>
      </c>
      <c r="S23" s="42">
        <v>94.3</v>
      </c>
      <c r="T23" s="42">
        <v>69.2</v>
      </c>
      <c r="U23" s="42">
        <v>38.799999999999997</v>
      </c>
      <c r="V23" s="42">
        <v>47.800000000000004</v>
      </c>
      <c r="W23" s="42">
        <v>24.5</v>
      </c>
      <c r="X23" s="41">
        <v>0.45100000000000001</v>
      </c>
      <c r="Y23" s="42">
        <v>18.899999999999999</v>
      </c>
      <c r="Z23" s="120">
        <v>5919000</v>
      </c>
      <c r="AA23" s="42">
        <v>63960</v>
      </c>
      <c r="AB23" s="42">
        <v>44.1</v>
      </c>
      <c r="AC23" s="41">
        <v>1913000</v>
      </c>
      <c r="AD23" s="42">
        <v>28410</v>
      </c>
      <c r="AE23" s="42">
        <v>25.099999999999998</v>
      </c>
      <c r="AF23" s="41">
        <v>6700000</v>
      </c>
      <c r="AG23" s="42">
        <v>47</v>
      </c>
      <c r="AH23" s="41">
        <v>113.3</v>
      </c>
      <c r="AI23" s="42">
        <v>19.3</v>
      </c>
      <c r="AJ23" s="41">
        <v>-1933000</v>
      </c>
      <c r="AK23" s="42">
        <v>21.99</v>
      </c>
      <c r="AL23" s="41">
        <v>1</v>
      </c>
      <c r="AM23" s="42">
        <v>3</v>
      </c>
      <c r="AN23" s="42"/>
    </row>
    <row r="24" spans="1:40" x14ac:dyDescent="0.45">
      <c r="A24" s="140" t="s">
        <v>591</v>
      </c>
      <c r="B24" s="69">
        <v>15.4</v>
      </c>
      <c r="C24" s="102">
        <v>150</v>
      </c>
      <c r="D24" s="27">
        <v>75</v>
      </c>
      <c r="E24" s="27">
        <v>9</v>
      </c>
      <c r="F24" s="27">
        <v>12</v>
      </c>
      <c r="G24" s="27">
        <v>6</v>
      </c>
      <c r="H24" s="26">
        <v>1960.0000000000002</v>
      </c>
      <c r="I24" s="132" t="s">
        <v>110</v>
      </c>
      <c r="J24" s="36">
        <v>47</v>
      </c>
      <c r="K24" s="36">
        <v>102</v>
      </c>
      <c r="L24" s="36">
        <v>16.899999999999999</v>
      </c>
      <c r="M24" s="132" t="s">
        <v>78</v>
      </c>
      <c r="N24" s="36">
        <v>37</v>
      </c>
      <c r="O24" s="36">
        <v>46</v>
      </c>
      <c r="P24" s="36">
        <v>18</v>
      </c>
      <c r="Q24" s="26">
        <v>52.599999999999994</v>
      </c>
      <c r="R24" s="27">
        <v>15.700000000000001</v>
      </c>
      <c r="S24" s="27">
        <v>98.2</v>
      </c>
      <c r="T24" s="27">
        <v>65.900000000000006</v>
      </c>
      <c r="U24" s="27">
        <v>28.5</v>
      </c>
      <c r="V24" s="27">
        <v>44.1</v>
      </c>
      <c r="W24" s="27">
        <v>16.100000000000001</v>
      </c>
      <c r="X24" s="26">
        <v>0.44</v>
      </c>
      <c r="Y24" s="27">
        <v>28.59</v>
      </c>
      <c r="Z24" s="102">
        <v>4552000</v>
      </c>
      <c r="AA24" s="27">
        <v>46740</v>
      </c>
      <c r="AB24" s="27">
        <v>48.2</v>
      </c>
      <c r="AC24" s="26">
        <v>779100</v>
      </c>
      <c r="AD24" s="27">
        <v>13140</v>
      </c>
      <c r="AE24" s="27">
        <v>19.899999999999999</v>
      </c>
      <c r="AF24" s="26">
        <v>4832000</v>
      </c>
      <c r="AG24" s="27">
        <v>49.699999999999996</v>
      </c>
      <c r="AH24" s="26">
        <v>49.95</v>
      </c>
      <c r="AI24" s="27">
        <v>16</v>
      </c>
      <c r="AJ24" s="26">
        <v>-1064000</v>
      </c>
      <c r="AK24" s="27">
        <v>14.72</v>
      </c>
      <c r="AL24" s="26">
        <v>3</v>
      </c>
      <c r="AM24" s="27">
        <v>4</v>
      </c>
      <c r="AN24" s="141"/>
    </row>
    <row r="25" spans="1:40" x14ac:dyDescent="0.45">
      <c r="A25" s="134" t="s">
        <v>592</v>
      </c>
      <c r="B25" s="71">
        <v>17</v>
      </c>
      <c r="C25" s="103">
        <v>150</v>
      </c>
      <c r="D25" s="31">
        <v>75</v>
      </c>
      <c r="E25" s="31">
        <v>10</v>
      </c>
      <c r="F25" s="31">
        <v>12</v>
      </c>
      <c r="G25" s="31">
        <v>6</v>
      </c>
      <c r="H25" s="30">
        <v>2170</v>
      </c>
      <c r="I25" s="131" t="s">
        <v>108</v>
      </c>
      <c r="J25" s="31">
        <v>48</v>
      </c>
      <c r="K25" s="31">
        <v>102</v>
      </c>
      <c r="L25" s="31">
        <v>18.7</v>
      </c>
      <c r="M25" s="131" t="s">
        <v>80</v>
      </c>
      <c r="N25" s="31">
        <v>38</v>
      </c>
      <c r="O25" s="31">
        <v>46</v>
      </c>
      <c r="P25" s="31">
        <v>19.899999999999999</v>
      </c>
      <c r="Q25" s="30">
        <v>53.099999999999994</v>
      </c>
      <c r="R25" s="31">
        <v>16.100000000000001</v>
      </c>
      <c r="S25" s="31">
        <v>97.8</v>
      </c>
      <c r="T25" s="31">
        <v>66.2</v>
      </c>
      <c r="U25" s="31">
        <v>29</v>
      </c>
      <c r="V25" s="31">
        <v>43.9</v>
      </c>
      <c r="W25" s="31">
        <v>16.5</v>
      </c>
      <c r="X25" s="30">
        <v>0.44</v>
      </c>
      <c r="Y25" s="31">
        <v>25.87</v>
      </c>
      <c r="Z25" s="103">
        <v>5006000</v>
      </c>
      <c r="AA25" s="31">
        <v>51650</v>
      </c>
      <c r="AB25" s="31">
        <v>48.099999999999994</v>
      </c>
      <c r="AC25" s="30">
        <v>853700</v>
      </c>
      <c r="AD25" s="31">
        <v>14500</v>
      </c>
      <c r="AE25" s="31">
        <v>19.899999999999999</v>
      </c>
      <c r="AF25" s="30">
        <v>5311000</v>
      </c>
      <c r="AG25" s="31">
        <v>49.5</v>
      </c>
      <c r="AH25" s="30">
        <v>54.87</v>
      </c>
      <c r="AI25" s="31">
        <v>15.9</v>
      </c>
      <c r="AJ25" s="30">
        <v>-1166000</v>
      </c>
      <c r="AK25" s="31">
        <v>14.66</v>
      </c>
      <c r="AL25" s="30">
        <v>3</v>
      </c>
      <c r="AM25" s="31">
        <v>4</v>
      </c>
      <c r="AN25" s="135"/>
    </row>
    <row r="26" spans="1:40" x14ac:dyDescent="0.45">
      <c r="A26" s="132" t="s">
        <v>593</v>
      </c>
      <c r="B26" s="73">
        <v>18.600000000000001</v>
      </c>
      <c r="C26" s="106">
        <v>150</v>
      </c>
      <c r="D26" s="36">
        <v>75</v>
      </c>
      <c r="E26" s="36">
        <v>11</v>
      </c>
      <c r="F26" s="36">
        <v>12</v>
      </c>
      <c r="G26" s="36">
        <v>6</v>
      </c>
      <c r="H26" s="35">
        <v>2370</v>
      </c>
      <c r="I26" s="132" t="s">
        <v>110</v>
      </c>
      <c r="J26" s="36">
        <v>49</v>
      </c>
      <c r="K26" s="36">
        <v>102</v>
      </c>
      <c r="L26" s="36">
        <v>20.399999999999999</v>
      </c>
      <c r="M26" s="132" t="s">
        <v>78</v>
      </c>
      <c r="N26" s="36">
        <v>39</v>
      </c>
      <c r="O26" s="36">
        <v>46</v>
      </c>
      <c r="P26" s="36">
        <v>21.7</v>
      </c>
      <c r="Q26" s="35">
        <v>53.5</v>
      </c>
      <c r="R26" s="36">
        <v>16.5</v>
      </c>
      <c r="S26" s="36">
        <v>97.5</v>
      </c>
      <c r="T26" s="36">
        <v>66.5</v>
      </c>
      <c r="U26" s="36">
        <v>29.5</v>
      </c>
      <c r="V26" s="36">
        <v>43.7</v>
      </c>
      <c r="W26" s="36">
        <v>16.8</v>
      </c>
      <c r="X26" s="35">
        <v>0.44</v>
      </c>
      <c r="Y26" s="36">
        <v>23.64</v>
      </c>
      <c r="Z26" s="106">
        <v>5450000</v>
      </c>
      <c r="AA26" s="36">
        <v>56490</v>
      </c>
      <c r="AB26" s="36">
        <v>48</v>
      </c>
      <c r="AC26" s="35">
        <v>925699.99999999988</v>
      </c>
      <c r="AD26" s="36">
        <v>15830</v>
      </c>
      <c r="AE26" s="36">
        <v>19.8</v>
      </c>
      <c r="AF26" s="35">
        <v>5779000</v>
      </c>
      <c r="AG26" s="36">
        <v>49.400000000000006</v>
      </c>
      <c r="AH26" s="35">
        <v>59.7</v>
      </c>
      <c r="AI26" s="36">
        <v>15.9</v>
      </c>
      <c r="AJ26" s="35">
        <v>-1263000</v>
      </c>
      <c r="AK26" s="36">
        <v>14.59</v>
      </c>
      <c r="AL26" s="35">
        <v>3</v>
      </c>
      <c r="AM26" s="36">
        <v>3</v>
      </c>
      <c r="AN26" s="136"/>
    </row>
    <row r="27" spans="1:40" x14ac:dyDescent="0.45">
      <c r="A27" s="134" t="s">
        <v>594</v>
      </c>
      <c r="B27" s="71">
        <v>20.2</v>
      </c>
      <c r="C27" s="103">
        <v>150</v>
      </c>
      <c r="D27" s="31">
        <v>75</v>
      </c>
      <c r="E27" s="31">
        <v>12</v>
      </c>
      <c r="F27" s="31">
        <v>12</v>
      </c>
      <c r="G27" s="31">
        <v>6</v>
      </c>
      <c r="H27" s="30">
        <v>2570</v>
      </c>
      <c r="I27" s="131" t="s">
        <v>108</v>
      </c>
      <c r="J27" s="31">
        <v>50</v>
      </c>
      <c r="K27" s="31">
        <v>102</v>
      </c>
      <c r="L27" s="31">
        <v>22.1</v>
      </c>
      <c r="M27" s="131" t="s">
        <v>80</v>
      </c>
      <c r="N27" s="31">
        <v>40</v>
      </c>
      <c r="O27" s="31">
        <v>40</v>
      </c>
      <c r="P27" s="31">
        <v>23.6</v>
      </c>
      <c r="Q27" s="30">
        <v>54</v>
      </c>
      <c r="R27" s="31">
        <v>16.899999999999999</v>
      </c>
      <c r="S27" s="31">
        <v>97.2</v>
      </c>
      <c r="T27" s="31">
        <v>66.8</v>
      </c>
      <c r="U27" s="31">
        <v>29.900000000000002</v>
      </c>
      <c r="V27" s="31">
        <v>43.6</v>
      </c>
      <c r="W27" s="31">
        <v>17.2</v>
      </c>
      <c r="X27" s="30">
        <v>0.44</v>
      </c>
      <c r="Y27" s="31">
        <v>21.78</v>
      </c>
      <c r="Z27" s="103">
        <v>5884000</v>
      </c>
      <c r="AA27" s="31">
        <v>61270</v>
      </c>
      <c r="AB27" s="31">
        <v>47.800000000000004</v>
      </c>
      <c r="AC27" s="30">
        <v>995500</v>
      </c>
      <c r="AD27" s="31">
        <v>17140</v>
      </c>
      <c r="AE27" s="31">
        <v>19.7</v>
      </c>
      <c r="AF27" s="30">
        <v>6235000</v>
      </c>
      <c r="AG27" s="31">
        <v>49.2</v>
      </c>
      <c r="AH27" s="30">
        <v>64.45</v>
      </c>
      <c r="AI27" s="31">
        <v>15.8</v>
      </c>
      <c r="AJ27" s="30">
        <v>-1356000</v>
      </c>
      <c r="AK27" s="31">
        <v>14.51</v>
      </c>
      <c r="AL27" s="30">
        <v>3</v>
      </c>
      <c r="AM27" s="31">
        <v>3</v>
      </c>
      <c r="AN27" s="135"/>
    </row>
    <row r="28" spans="1:40" x14ac:dyDescent="0.45">
      <c r="A28" s="134" t="s">
        <v>595</v>
      </c>
      <c r="B28" s="71">
        <v>18.2</v>
      </c>
      <c r="C28" s="103">
        <v>150</v>
      </c>
      <c r="D28" s="31">
        <v>90</v>
      </c>
      <c r="E28" s="31">
        <v>10</v>
      </c>
      <c r="F28" s="31">
        <v>12</v>
      </c>
      <c r="G28" s="31">
        <v>6</v>
      </c>
      <c r="H28" s="30">
        <v>2320</v>
      </c>
      <c r="I28" s="142" t="s">
        <v>110</v>
      </c>
      <c r="J28" s="122">
        <v>50</v>
      </c>
      <c r="K28" s="122">
        <v>102</v>
      </c>
      <c r="L28" s="122">
        <v>20.2</v>
      </c>
      <c r="M28" s="142" t="s">
        <v>97</v>
      </c>
      <c r="N28" s="122">
        <v>47</v>
      </c>
      <c r="O28" s="122">
        <v>49</v>
      </c>
      <c r="P28" s="122">
        <v>20.6</v>
      </c>
      <c r="Q28" s="30">
        <v>50</v>
      </c>
      <c r="R28" s="31">
        <v>20.399999999999999</v>
      </c>
      <c r="S28" s="31">
        <v>101</v>
      </c>
      <c r="T28" s="31">
        <v>70.7</v>
      </c>
      <c r="U28" s="31">
        <v>36.1</v>
      </c>
      <c r="V28" s="31">
        <v>49.699999999999996</v>
      </c>
      <c r="W28" s="31">
        <v>22</v>
      </c>
      <c r="X28" s="30">
        <v>0.47</v>
      </c>
      <c r="Y28" s="31">
        <v>25.84</v>
      </c>
      <c r="Z28" s="103">
        <v>5331000</v>
      </c>
      <c r="AA28" s="31">
        <v>53290</v>
      </c>
      <c r="AB28" s="31">
        <v>48</v>
      </c>
      <c r="AC28" s="30">
        <v>1461000</v>
      </c>
      <c r="AD28" s="31">
        <v>20980</v>
      </c>
      <c r="AE28" s="31">
        <v>25.099999999999998</v>
      </c>
      <c r="AF28" s="30">
        <v>5913000</v>
      </c>
      <c r="AG28" s="31">
        <v>50.5</v>
      </c>
      <c r="AH28" s="30">
        <v>87.93</v>
      </c>
      <c r="AI28" s="31">
        <v>19.5</v>
      </c>
      <c r="AJ28" s="30">
        <v>-1609000</v>
      </c>
      <c r="AK28" s="31">
        <v>19.87</v>
      </c>
      <c r="AL28" s="30">
        <v>3</v>
      </c>
      <c r="AM28" s="31">
        <v>4</v>
      </c>
      <c r="AN28" s="31">
        <v>4</v>
      </c>
    </row>
    <row r="29" spans="1:40" x14ac:dyDescent="0.45">
      <c r="A29" s="137" t="s">
        <v>596</v>
      </c>
      <c r="B29" s="73">
        <v>19.899999999999999</v>
      </c>
      <c r="C29" s="106">
        <v>150</v>
      </c>
      <c r="D29" s="36">
        <v>90</v>
      </c>
      <c r="E29" s="36">
        <v>11</v>
      </c>
      <c r="F29" s="36">
        <v>12</v>
      </c>
      <c r="G29" s="36">
        <v>6</v>
      </c>
      <c r="H29" s="35">
        <v>2530</v>
      </c>
      <c r="I29" s="132" t="s">
        <v>108</v>
      </c>
      <c r="J29" s="36">
        <v>51</v>
      </c>
      <c r="K29" s="36">
        <v>102</v>
      </c>
      <c r="L29" s="36">
        <v>22</v>
      </c>
      <c r="M29" s="132" t="s">
        <v>99</v>
      </c>
      <c r="N29" s="36">
        <v>48</v>
      </c>
      <c r="O29" s="36">
        <v>49</v>
      </c>
      <c r="P29" s="36">
        <v>22.5</v>
      </c>
      <c r="Q29" s="35">
        <v>50.4</v>
      </c>
      <c r="R29" s="36">
        <v>20.8</v>
      </c>
      <c r="S29" s="36">
        <v>100.7</v>
      </c>
      <c r="T29" s="36">
        <v>70.900000000000006</v>
      </c>
      <c r="U29" s="36">
        <v>36.6</v>
      </c>
      <c r="V29" s="36">
        <v>49.5</v>
      </c>
      <c r="W29" s="36">
        <v>22.3</v>
      </c>
      <c r="X29" s="35">
        <v>0.47</v>
      </c>
      <c r="Y29" s="36">
        <v>23.61</v>
      </c>
      <c r="Z29" s="106">
        <v>5807000</v>
      </c>
      <c r="AA29" s="36">
        <v>58300</v>
      </c>
      <c r="AB29" s="36">
        <v>47.9</v>
      </c>
      <c r="AC29" s="35">
        <v>1587000</v>
      </c>
      <c r="AD29" s="36">
        <v>22910</v>
      </c>
      <c r="AE29" s="36">
        <v>25</v>
      </c>
      <c r="AF29" s="35">
        <v>6437000</v>
      </c>
      <c r="AG29" s="36">
        <v>50.4</v>
      </c>
      <c r="AH29" s="35">
        <v>95.7</v>
      </c>
      <c r="AI29" s="36">
        <v>19.399999999999999</v>
      </c>
      <c r="AJ29" s="35">
        <v>-1747000</v>
      </c>
      <c r="AK29" s="36">
        <v>19.809999999999999</v>
      </c>
      <c r="AL29" s="35">
        <v>3</v>
      </c>
      <c r="AM29" s="36">
        <v>3</v>
      </c>
      <c r="AN29" s="36">
        <v>4</v>
      </c>
    </row>
    <row r="30" spans="1:40" x14ac:dyDescent="0.45">
      <c r="A30" s="134" t="s">
        <v>597</v>
      </c>
      <c r="B30" s="71">
        <v>21.6</v>
      </c>
      <c r="C30" s="103">
        <v>150</v>
      </c>
      <c r="D30" s="31">
        <v>90</v>
      </c>
      <c r="E30" s="31">
        <v>12</v>
      </c>
      <c r="F30" s="31">
        <v>12</v>
      </c>
      <c r="G30" s="31">
        <v>6</v>
      </c>
      <c r="H30" s="30">
        <v>2750</v>
      </c>
      <c r="I30" s="131" t="s">
        <v>110</v>
      </c>
      <c r="J30" s="31">
        <v>52</v>
      </c>
      <c r="K30" s="31">
        <v>102</v>
      </c>
      <c r="L30" s="31">
        <v>23.9</v>
      </c>
      <c r="M30" s="131" t="s">
        <v>97</v>
      </c>
      <c r="N30" s="31">
        <v>48</v>
      </c>
      <c r="O30" s="31">
        <v>49</v>
      </c>
      <c r="P30" s="31">
        <v>24.4</v>
      </c>
      <c r="Q30" s="30">
        <v>50.8</v>
      </c>
      <c r="R30" s="31">
        <v>21.200000000000003</v>
      </c>
      <c r="S30" s="31">
        <v>100.5</v>
      </c>
      <c r="T30" s="31">
        <v>71.100000000000009</v>
      </c>
      <c r="U30" s="31">
        <v>37.1</v>
      </c>
      <c r="V30" s="31">
        <v>49.400000000000006</v>
      </c>
      <c r="W30" s="31">
        <v>22.599999999999998</v>
      </c>
      <c r="X30" s="30">
        <v>0.47</v>
      </c>
      <c r="Y30" s="31">
        <v>21.75</v>
      </c>
      <c r="Z30" s="103">
        <v>6273000</v>
      </c>
      <c r="AA30" s="31">
        <v>63250</v>
      </c>
      <c r="AB30" s="31">
        <v>47.699999999999996</v>
      </c>
      <c r="AC30" s="30">
        <v>1709000</v>
      </c>
      <c r="AD30" s="31">
        <v>24820</v>
      </c>
      <c r="AE30" s="31">
        <v>24.900000000000002</v>
      </c>
      <c r="AF30" s="30">
        <v>6948000</v>
      </c>
      <c r="AG30" s="31">
        <v>50.300000000000004</v>
      </c>
      <c r="AH30" s="30">
        <v>103.4</v>
      </c>
      <c r="AI30" s="31">
        <v>19.399999999999999</v>
      </c>
      <c r="AJ30" s="30">
        <v>-1881000</v>
      </c>
      <c r="AK30" s="31">
        <v>19.75</v>
      </c>
      <c r="AL30" s="30">
        <v>3</v>
      </c>
      <c r="AM30" s="31">
        <v>3</v>
      </c>
      <c r="AN30" s="31">
        <v>3</v>
      </c>
    </row>
    <row r="31" spans="1:40" x14ac:dyDescent="0.45">
      <c r="A31" s="137" t="s">
        <v>598</v>
      </c>
      <c r="B31" s="73">
        <v>26.6</v>
      </c>
      <c r="C31" s="106">
        <v>150</v>
      </c>
      <c r="D31" s="36">
        <v>90</v>
      </c>
      <c r="E31" s="36">
        <v>15</v>
      </c>
      <c r="F31" s="36">
        <v>12</v>
      </c>
      <c r="G31" s="36">
        <v>6</v>
      </c>
      <c r="H31" s="35">
        <v>3390</v>
      </c>
      <c r="I31" s="132" t="s">
        <v>108</v>
      </c>
      <c r="J31" s="36">
        <v>55</v>
      </c>
      <c r="K31" s="36">
        <v>102</v>
      </c>
      <c r="L31" s="36">
        <v>29.4</v>
      </c>
      <c r="M31" s="132" t="s">
        <v>99</v>
      </c>
      <c r="N31" s="36">
        <v>52</v>
      </c>
      <c r="O31" s="36">
        <v>49</v>
      </c>
      <c r="P31" s="36">
        <v>30</v>
      </c>
      <c r="Q31" s="35">
        <v>52.1</v>
      </c>
      <c r="R31" s="36">
        <v>22.3</v>
      </c>
      <c r="S31" s="36">
        <v>99.800000000000011</v>
      </c>
      <c r="T31" s="36">
        <v>71.7</v>
      </c>
      <c r="U31" s="36">
        <v>38.4</v>
      </c>
      <c r="V31" s="36">
        <v>49.2</v>
      </c>
      <c r="W31" s="36">
        <v>23.599999999999998</v>
      </c>
      <c r="X31" s="35">
        <v>0.47</v>
      </c>
      <c r="Y31" s="36">
        <v>17.649999999999999</v>
      </c>
      <c r="Z31" s="106">
        <v>7611000</v>
      </c>
      <c r="AA31" s="36">
        <v>77700</v>
      </c>
      <c r="AB31" s="36">
        <v>47.400000000000006</v>
      </c>
      <c r="AC31" s="35">
        <v>2055000</v>
      </c>
      <c r="AD31" s="36">
        <v>30360</v>
      </c>
      <c r="AE31" s="36">
        <v>24.6</v>
      </c>
      <c r="AF31" s="35">
        <v>8409000</v>
      </c>
      <c r="AG31" s="36">
        <v>49.800000000000004</v>
      </c>
      <c r="AH31" s="35">
        <v>125.7</v>
      </c>
      <c r="AI31" s="36">
        <v>19.3</v>
      </c>
      <c r="AJ31" s="35">
        <v>-2252000</v>
      </c>
      <c r="AK31" s="36">
        <v>19.510000000000002</v>
      </c>
      <c r="AL31" s="35">
        <v>1</v>
      </c>
      <c r="AM31" s="36">
        <v>3</v>
      </c>
      <c r="AN31" s="36">
        <v>3</v>
      </c>
    </row>
    <row r="32" spans="1:40" x14ac:dyDescent="0.45">
      <c r="A32" s="137" t="s">
        <v>599</v>
      </c>
      <c r="B32" s="73">
        <v>19</v>
      </c>
      <c r="C32" s="106">
        <v>150</v>
      </c>
      <c r="D32" s="36">
        <v>100</v>
      </c>
      <c r="E32" s="36">
        <v>10</v>
      </c>
      <c r="F32" s="36">
        <v>12</v>
      </c>
      <c r="G32" s="36">
        <v>6</v>
      </c>
      <c r="H32" s="35">
        <v>2420</v>
      </c>
      <c r="I32" s="132" t="s">
        <v>108</v>
      </c>
      <c r="J32" s="36">
        <v>50</v>
      </c>
      <c r="K32" s="36">
        <v>102</v>
      </c>
      <c r="L32" s="36">
        <v>21.2</v>
      </c>
      <c r="M32" s="132" t="s">
        <v>108</v>
      </c>
      <c r="N32" s="36">
        <v>50</v>
      </c>
      <c r="O32" s="36">
        <v>53</v>
      </c>
      <c r="P32" s="36">
        <v>21.2</v>
      </c>
      <c r="Q32" s="35">
        <v>48.099999999999994</v>
      </c>
      <c r="R32" s="36">
        <v>23.4</v>
      </c>
      <c r="S32" s="36">
        <v>102.69999999999999</v>
      </c>
      <c r="T32" s="36">
        <v>74.800000000000011</v>
      </c>
      <c r="U32" s="36">
        <v>40.799999999999997</v>
      </c>
      <c r="V32" s="36">
        <v>52.5</v>
      </c>
      <c r="W32" s="36">
        <v>26.400000000000002</v>
      </c>
      <c r="X32" s="35">
        <v>0.49</v>
      </c>
      <c r="Y32" s="36">
        <v>25.83</v>
      </c>
      <c r="Z32" s="106">
        <v>5526000</v>
      </c>
      <c r="AA32" s="36">
        <v>54230</v>
      </c>
      <c r="AB32" s="36">
        <v>47.800000000000004</v>
      </c>
      <c r="AC32" s="35">
        <v>1985000</v>
      </c>
      <c r="AD32" s="36">
        <v>25920</v>
      </c>
      <c r="AE32" s="36">
        <v>28.700000000000003</v>
      </c>
      <c r="AF32" s="35">
        <v>6373000</v>
      </c>
      <c r="AG32" s="36">
        <v>51.4</v>
      </c>
      <c r="AH32" s="35">
        <v>113.8</v>
      </c>
      <c r="AI32" s="36">
        <v>21.7</v>
      </c>
      <c r="AJ32" s="35">
        <v>-1928000</v>
      </c>
      <c r="AK32" s="36">
        <v>23.72</v>
      </c>
      <c r="AL32" s="35">
        <v>3</v>
      </c>
      <c r="AM32" s="36">
        <v>4</v>
      </c>
      <c r="AN32" s="36">
        <v>4</v>
      </c>
    </row>
    <row r="33" spans="1:40" x14ac:dyDescent="0.45">
      <c r="A33" s="134" t="s">
        <v>600</v>
      </c>
      <c r="B33" s="71">
        <v>22.5</v>
      </c>
      <c r="C33" s="103">
        <v>150</v>
      </c>
      <c r="D33" s="31">
        <v>100</v>
      </c>
      <c r="E33" s="31">
        <v>12</v>
      </c>
      <c r="F33" s="31">
        <v>12</v>
      </c>
      <c r="G33" s="31">
        <v>6</v>
      </c>
      <c r="H33" s="30">
        <v>2870</v>
      </c>
      <c r="I33" s="131" t="s">
        <v>110</v>
      </c>
      <c r="J33" s="31">
        <v>52</v>
      </c>
      <c r="K33" s="31">
        <v>102</v>
      </c>
      <c r="L33" s="31">
        <v>25.1</v>
      </c>
      <c r="M33" s="131" t="s">
        <v>110</v>
      </c>
      <c r="N33" s="31">
        <v>52</v>
      </c>
      <c r="O33" s="31">
        <v>53</v>
      </c>
      <c r="P33" s="31">
        <v>25.1</v>
      </c>
      <c r="Q33" s="30">
        <v>49</v>
      </c>
      <c r="R33" s="31">
        <v>24.2</v>
      </c>
      <c r="S33" s="31">
        <v>102.30000000000001</v>
      </c>
      <c r="T33" s="31">
        <v>75.199999999999989</v>
      </c>
      <c r="U33" s="31">
        <v>41.8</v>
      </c>
      <c r="V33" s="31">
        <v>52.300000000000004</v>
      </c>
      <c r="W33" s="31">
        <v>27</v>
      </c>
      <c r="X33" s="30">
        <v>0.49</v>
      </c>
      <c r="Y33" s="31">
        <v>21.72</v>
      </c>
      <c r="Z33" s="103">
        <v>6505000</v>
      </c>
      <c r="AA33" s="31">
        <v>64379.999999999993</v>
      </c>
      <c r="AB33" s="31">
        <v>47.599999999999994</v>
      </c>
      <c r="AC33" s="30">
        <v>2326000</v>
      </c>
      <c r="AD33" s="31">
        <v>30690</v>
      </c>
      <c r="AE33" s="31">
        <v>28.5</v>
      </c>
      <c r="AF33" s="30">
        <v>7493000</v>
      </c>
      <c r="AG33" s="31">
        <v>51.1</v>
      </c>
      <c r="AH33" s="30">
        <v>133.9</v>
      </c>
      <c r="AI33" s="31">
        <v>21.6</v>
      </c>
      <c r="AJ33" s="30">
        <v>-2259000</v>
      </c>
      <c r="AK33" s="31">
        <v>23.61</v>
      </c>
      <c r="AL33" s="30">
        <v>3</v>
      </c>
      <c r="AM33" s="31">
        <v>3</v>
      </c>
      <c r="AN33" s="31">
        <v>3</v>
      </c>
    </row>
    <row r="34" spans="1:40" x14ac:dyDescent="0.45">
      <c r="A34" s="137" t="s">
        <v>601</v>
      </c>
      <c r="B34" s="73">
        <v>26.1</v>
      </c>
      <c r="C34" s="106">
        <v>150</v>
      </c>
      <c r="D34" s="36">
        <v>100</v>
      </c>
      <c r="E34" s="36">
        <v>14</v>
      </c>
      <c r="F34" s="36">
        <v>12</v>
      </c>
      <c r="G34" s="36">
        <v>6</v>
      </c>
      <c r="H34" s="35">
        <v>3320.0000000000005</v>
      </c>
      <c r="I34" s="132" t="s">
        <v>108</v>
      </c>
      <c r="J34" s="36">
        <v>54</v>
      </c>
      <c r="K34" s="36">
        <v>102</v>
      </c>
      <c r="L34" s="36">
        <v>29</v>
      </c>
      <c r="M34" s="132" t="s">
        <v>99</v>
      </c>
      <c r="N34" s="36">
        <v>51</v>
      </c>
      <c r="O34" s="36">
        <v>59</v>
      </c>
      <c r="P34" s="36">
        <v>29.6</v>
      </c>
      <c r="Q34" s="35">
        <v>49.800000000000004</v>
      </c>
      <c r="R34" s="36">
        <v>25</v>
      </c>
      <c r="S34" s="36">
        <v>101.89999999999999</v>
      </c>
      <c r="T34" s="36">
        <v>75.5</v>
      </c>
      <c r="U34" s="36">
        <v>42.800000000000004</v>
      </c>
      <c r="V34" s="36">
        <v>52.199999999999996</v>
      </c>
      <c r="W34" s="36">
        <v>27.5</v>
      </c>
      <c r="X34" s="35">
        <v>0.49</v>
      </c>
      <c r="Y34" s="36">
        <v>18.79</v>
      </c>
      <c r="Z34" s="106">
        <v>7444000</v>
      </c>
      <c r="AA34" s="36">
        <v>74270</v>
      </c>
      <c r="AB34" s="36">
        <v>47.400000000000006</v>
      </c>
      <c r="AC34" s="35">
        <v>2649000</v>
      </c>
      <c r="AD34" s="36">
        <v>35320</v>
      </c>
      <c r="AE34" s="36">
        <v>28.2</v>
      </c>
      <c r="AF34" s="35">
        <v>8559000</v>
      </c>
      <c r="AG34" s="36">
        <v>50.8</v>
      </c>
      <c r="AH34" s="35">
        <v>153.4</v>
      </c>
      <c r="AI34" s="36">
        <v>21.5</v>
      </c>
      <c r="AJ34" s="35">
        <v>-2568000</v>
      </c>
      <c r="AK34" s="36">
        <v>23.48</v>
      </c>
      <c r="AL34" s="35">
        <v>1</v>
      </c>
      <c r="AM34" s="36">
        <v>3</v>
      </c>
      <c r="AN34" s="36">
        <v>3</v>
      </c>
    </row>
    <row r="35" spans="1:40" x14ac:dyDescent="0.45">
      <c r="A35" s="137" t="s">
        <v>602</v>
      </c>
      <c r="B35" s="73">
        <v>23</v>
      </c>
      <c r="C35" s="106">
        <v>200</v>
      </c>
      <c r="D35" s="36">
        <v>100</v>
      </c>
      <c r="E35" s="36">
        <v>10</v>
      </c>
      <c r="F35" s="36">
        <v>15</v>
      </c>
      <c r="G35" s="36">
        <v>7.5</v>
      </c>
      <c r="H35" s="35">
        <v>2920</v>
      </c>
      <c r="I35" s="132" t="s">
        <v>108</v>
      </c>
      <c r="J35" s="36">
        <v>54</v>
      </c>
      <c r="K35" s="36">
        <v>150</v>
      </c>
      <c r="L35" s="36">
        <v>26.2</v>
      </c>
      <c r="M35" s="132" t="s">
        <v>108</v>
      </c>
      <c r="N35" s="36">
        <v>51</v>
      </c>
      <c r="O35" s="36">
        <v>53</v>
      </c>
      <c r="P35" s="36">
        <v>26.2</v>
      </c>
      <c r="Q35" s="35">
        <v>69.3</v>
      </c>
      <c r="R35" s="36">
        <v>20.099999999999998</v>
      </c>
      <c r="S35" s="36">
        <v>131.5</v>
      </c>
      <c r="T35" s="36">
        <v>87.4</v>
      </c>
      <c r="U35" s="36">
        <v>37.200000000000003</v>
      </c>
      <c r="V35" s="36">
        <v>59.400000000000006</v>
      </c>
      <c r="W35" s="36">
        <v>20.9</v>
      </c>
      <c r="X35" s="35">
        <v>0.58699999999999997</v>
      </c>
      <c r="Y35" s="36">
        <v>25.58</v>
      </c>
      <c r="Z35" s="106">
        <v>12190000</v>
      </c>
      <c r="AA35" s="36">
        <v>93240</v>
      </c>
      <c r="AB35" s="36">
        <v>64.599999999999994</v>
      </c>
      <c r="AC35" s="35">
        <v>2103000</v>
      </c>
      <c r="AD35" s="36">
        <v>26330</v>
      </c>
      <c r="AE35" s="36">
        <v>26.8</v>
      </c>
      <c r="AF35" s="35">
        <v>12940000</v>
      </c>
      <c r="AG35" s="36">
        <v>66.5</v>
      </c>
      <c r="AH35" s="35">
        <v>134.5</v>
      </c>
      <c r="AI35" s="36">
        <v>21.400000000000002</v>
      </c>
      <c r="AJ35" s="35">
        <v>-2868000</v>
      </c>
      <c r="AK35" s="36">
        <v>14.82</v>
      </c>
      <c r="AL35" s="35">
        <v>4</v>
      </c>
      <c r="AM35" s="36">
        <v>4</v>
      </c>
      <c r="AN35" s="36">
        <v>4</v>
      </c>
    </row>
    <row r="36" spans="1:40" x14ac:dyDescent="0.45">
      <c r="A36" s="134" t="s">
        <v>603</v>
      </c>
      <c r="B36" s="71">
        <v>27.3</v>
      </c>
      <c r="C36" s="103">
        <v>200</v>
      </c>
      <c r="D36" s="31">
        <v>100</v>
      </c>
      <c r="E36" s="31">
        <v>12</v>
      </c>
      <c r="F36" s="31">
        <v>15</v>
      </c>
      <c r="G36" s="31">
        <v>7.5</v>
      </c>
      <c r="H36" s="30">
        <v>3479.9999999999995</v>
      </c>
      <c r="I36" s="131" t="s">
        <v>110</v>
      </c>
      <c r="J36" s="31">
        <v>54</v>
      </c>
      <c r="K36" s="31">
        <v>150</v>
      </c>
      <c r="L36" s="31">
        <v>31.2</v>
      </c>
      <c r="M36" s="131" t="s">
        <v>110</v>
      </c>
      <c r="N36" s="31">
        <v>53</v>
      </c>
      <c r="O36" s="31">
        <v>53</v>
      </c>
      <c r="P36" s="31">
        <v>31.2</v>
      </c>
      <c r="Q36" s="30">
        <v>70.3</v>
      </c>
      <c r="R36" s="31">
        <v>21</v>
      </c>
      <c r="S36" s="31">
        <v>130.80000000000001</v>
      </c>
      <c r="T36" s="31">
        <v>88.100000000000009</v>
      </c>
      <c r="U36" s="31">
        <v>38.199999999999996</v>
      </c>
      <c r="V36" s="31">
        <v>58.9</v>
      </c>
      <c r="W36" s="31">
        <v>21.7</v>
      </c>
      <c r="X36" s="30">
        <v>0.58699999999999997</v>
      </c>
      <c r="Y36" s="31">
        <v>21.49</v>
      </c>
      <c r="Z36" s="103">
        <v>14400000</v>
      </c>
      <c r="AA36" s="31">
        <v>111000</v>
      </c>
      <c r="AB36" s="31">
        <v>64.3</v>
      </c>
      <c r="AC36" s="30">
        <v>2472000</v>
      </c>
      <c r="AD36" s="31">
        <v>31280</v>
      </c>
      <c r="AE36" s="31">
        <v>26.7</v>
      </c>
      <c r="AF36" s="30">
        <v>15290000</v>
      </c>
      <c r="AG36" s="31">
        <v>66.3</v>
      </c>
      <c r="AH36" s="30">
        <v>158.5</v>
      </c>
      <c r="AI36" s="31">
        <v>21.299999999999997</v>
      </c>
      <c r="AJ36" s="30">
        <v>-3373000</v>
      </c>
      <c r="AK36" s="31">
        <v>14.74</v>
      </c>
      <c r="AL36" s="30">
        <v>3</v>
      </c>
      <c r="AM36" s="31">
        <v>4</v>
      </c>
      <c r="AN36" s="31">
        <v>4</v>
      </c>
    </row>
    <row r="37" spans="1:40" x14ac:dyDescent="0.45">
      <c r="A37" s="132" t="s">
        <v>604</v>
      </c>
      <c r="B37" s="73">
        <v>31.6</v>
      </c>
      <c r="C37" s="106">
        <v>200</v>
      </c>
      <c r="D37" s="36">
        <v>100</v>
      </c>
      <c r="E37" s="36">
        <v>14</v>
      </c>
      <c r="F37" s="36">
        <v>15</v>
      </c>
      <c r="G37" s="36">
        <v>7.5</v>
      </c>
      <c r="H37" s="35">
        <v>4029.9999999999995</v>
      </c>
      <c r="I37" s="132" t="s">
        <v>108</v>
      </c>
      <c r="J37" s="36">
        <v>55</v>
      </c>
      <c r="K37" s="36">
        <v>151</v>
      </c>
      <c r="L37" s="36">
        <v>36.1</v>
      </c>
      <c r="M37" s="132" t="s">
        <v>99</v>
      </c>
      <c r="N37" s="36">
        <v>52</v>
      </c>
      <c r="O37" s="36">
        <v>59</v>
      </c>
      <c r="P37" s="36">
        <v>36.6</v>
      </c>
      <c r="Q37" s="35">
        <v>71.2</v>
      </c>
      <c r="R37" s="36">
        <v>21.8</v>
      </c>
      <c r="S37" s="36">
        <v>130.1</v>
      </c>
      <c r="T37" s="36">
        <v>88.6</v>
      </c>
      <c r="U37" s="36">
        <v>39.1</v>
      </c>
      <c r="V37" s="36">
        <v>58.5</v>
      </c>
      <c r="W37" s="36">
        <v>22.400000000000002</v>
      </c>
      <c r="X37" s="35">
        <v>0.58699999999999997</v>
      </c>
      <c r="Y37" s="36">
        <v>18.57</v>
      </c>
      <c r="Z37" s="106">
        <v>16540000</v>
      </c>
      <c r="AA37" s="36">
        <v>128400</v>
      </c>
      <c r="AB37" s="36">
        <v>64.099999999999994</v>
      </c>
      <c r="AC37" s="35">
        <v>2822000</v>
      </c>
      <c r="AD37" s="36">
        <v>36080</v>
      </c>
      <c r="AE37" s="36">
        <v>26.5</v>
      </c>
      <c r="AF37" s="35">
        <v>17550000</v>
      </c>
      <c r="AG37" s="36">
        <v>66</v>
      </c>
      <c r="AH37" s="35">
        <v>181.7</v>
      </c>
      <c r="AI37" s="36">
        <v>21.200000000000003</v>
      </c>
      <c r="AJ37" s="35">
        <v>-3848000</v>
      </c>
      <c r="AK37" s="36">
        <v>14.65</v>
      </c>
      <c r="AL37" s="35">
        <v>3</v>
      </c>
      <c r="AM37" s="36">
        <v>4</v>
      </c>
      <c r="AN37" s="36">
        <v>4</v>
      </c>
    </row>
    <row r="38" spans="1:40" x14ac:dyDescent="0.45">
      <c r="A38" s="143" t="s">
        <v>605</v>
      </c>
      <c r="B38" s="114">
        <v>33.700000000000003</v>
      </c>
      <c r="C38" s="120">
        <v>200</v>
      </c>
      <c r="D38" s="42">
        <v>100</v>
      </c>
      <c r="E38" s="42">
        <v>15</v>
      </c>
      <c r="F38" s="42">
        <v>15</v>
      </c>
      <c r="G38" s="42">
        <v>7.5</v>
      </c>
      <c r="H38" s="41">
        <v>4300</v>
      </c>
      <c r="I38" s="144" t="s">
        <v>110</v>
      </c>
      <c r="J38" s="42">
        <v>56</v>
      </c>
      <c r="K38" s="42">
        <v>151</v>
      </c>
      <c r="L38" s="42">
        <v>38.5</v>
      </c>
      <c r="M38" s="144" t="s">
        <v>97</v>
      </c>
      <c r="N38" s="42">
        <v>53</v>
      </c>
      <c r="O38" s="42">
        <v>59</v>
      </c>
      <c r="P38" s="42">
        <v>39.1</v>
      </c>
      <c r="Q38" s="41">
        <v>71.599999999999994</v>
      </c>
      <c r="R38" s="42">
        <v>22.200000000000003</v>
      </c>
      <c r="S38" s="42">
        <v>129.80000000000001</v>
      </c>
      <c r="T38" s="42">
        <v>88.9</v>
      </c>
      <c r="U38" s="42">
        <v>39.5</v>
      </c>
      <c r="V38" s="42">
        <v>58.4</v>
      </c>
      <c r="W38" s="42">
        <v>22.7</v>
      </c>
      <c r="X38" s="41">
        <v>0.58699999999999997</v>
      </c>
      <c r="Y38" s="42">
        <v>17.399999999999999</v>
      </c>
      <c r="Z38" s="120">
        <v>17580000</v>
      </c>
      <c r="AA38" s="42">
        <v>137000</v>
      </c>
      <c r="AB38" s="42">
        <v>64</v>
      </c>
      <c r="AC38" s="41">
        <v>2991000</v>
      </c>
      <c r="AD38" s="42">
        <v>38440</v>
      </c>
      <c r="AE38" s="42">
        <v>26.400000000000002</v>
      </c>
      <c r="AF38" s="41">
        <v>18650000</v>
      </c>
      <c r="AG38" s="42">
        <v>65.900000000000006</v>
      </c>
      <c r="AH38" s="41">
        <v>193.1</v>
      </c>
      <c r="AI38" s="42">
        <v>21.200000000000003</v>
      </c>
      <c r="AJ38" s="41">
        <v>-4074000</v>
      </c>
      <c r="AK38" s="42">
        <v>14.59</v>
      </c>
      <c r="AL38" s="41">
        <v>3</v>
      </c>
      <c r="AM38" s="42">
        <v>3</v>
      </c>
      <c r="AN38" s="42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8:AX41"/>
  <sheetViews>
    <sheetView topLeftCell="A8" zoomScaleNormal="100" workbookViewId="0">
      <selection activeCell="Q12" sqref="Q12"/>
    </sheetView>
  </sheetViews>
  <sheetFormatPr baseColWidth="10" defaultColWidth="11.3984375" defaultRowHeight="14.25" x14ac:dyDescent="0.45"/>
  <cols>
    <col min="1" max="1" width="12.265625" style="51" bestFit="1" customWidth="1"/>
    <col min="2" max="2" width="3.73046875" style="51" bestFit="1" customWidth="1"/>
    <col min="3" max="3" width="14.3984375" style="51" bestFit="1" customWidth="1"/>
    <col min="4" max="6" width="7.3984375" style="51" bestFit="1" customWidth="1"/>
    <col min="7" max="14" width="8.3984375" style="51" bestFit="1" customWidth="1"/>
    <col min="15" max="15" width="9.3984375" style="51" bestFit="1" customWidth="1"/>
    <col min="16" max="19" width="8.3984375" style="51" bestFit="1" customWidth="1"/>
    <col min="20" max="20" width="9.3984375" style="51" bestFit="1" customWidth="1"/>
    <col min="21" max="21" width="8.3984375" style="51" bestFit="1" customWidth="1"/>
    <col min="22" max="23" width="11.3984375" style="51"/>
    <col min="24" max="24" width="1" style="51" bestFit="1" customWidth="1"/>
    <col min="25" max="25" width="8.3984375" style="51" bestFit="1" customWidth="1"/>
    <col min="26" max="28" width="11.3984375" style="51"/>
    <col min="29" max="29" width="2.73046875" style="51" bestFit="1" customWidth="1"/>
    <col min="30" max="31" width="11.3984375" style="51"/>
    <col min="32" max="32" width="2.73046875" style="51" bestFit="1" customWidth="1"/>
    <col min="33" max="33" width="1.265625" style="51" bestFit="1" customWidth="1"/>
    <col min="34" max="34" width="2.73046875" style="51" bestFit="1" customWidth="1"/>
    <col min="35" max="37" width="11.3984375" style="51"/>
    <col min="38" max="38" width="2.73046875" style="51" bestFit="1" customWidth="1"/>
    <col min="39" max="41" width="11.3984375" style="51"/>
    <col min="42" max="42" width="2.73046875" style="51" bestFit="1" customWidth="1"/>
    <col min="43" max="44" width="11.3984375" style="51"/>
    <col min="45" max="45" width="2.73046875" style="51" bestFit="1" customWidth="1"/>
    <col min="46" max="47" width="11.3984375" style="51"/>
    <col min="48" max="48" width="6.59765625" style="51" bestFit="1" customWidth="1"/>
    <col min="49" max="16384" width="11.3984375" style="51"/>
  </cols>
  <sheetData>
    <row r="8" spans="1:50" ht="53.25" x14ac:dyDescent="0.45">
      <c r="C8" s="52" t="s">
        <v>606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162" t="s">
        <v>0</v>
      </c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4"/>
      <c r="AV8" s="55" t="s">
        <v>0</v>
      </c>
      <c r="AW8" s="56"/>
      <c r="AX8" s="56"/>
    </row>
    <row r="9" spans="1:50" ht="31.5" customHeight="1" x14ac:dyDescent="0.45">
      <c r="C9" s="57"/>
      <c r="D9" s="167" t="s">
        <v>607</v>
      </c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4"/>
      <c r="AV9" s="58"/>
      <c r="AW9" s="56"/>
      <c r="AX9" s="56"/>
    </row>
    <row r="10" spans="1:50" x14ac:dyDescent="0.45">
      <c r="C10" s="104"/>
      <c r="D10" s="168" t="s">
        <v>32</v>
      </c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3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117"/>
      <c r="AW10" s="56"/>
      <c r="AX10" s="56"/>
    </row>
    <row r="11" spans="1:50" x14ac:dyDescent="0.45">
      <c r="C11" s="59"/>
      <c r="D11" s="146">
        <v>5</v>
      </c>
      <c r="E11" s="146">
        <v>6</v>
      </c>
      <c r="F11" s="146">
        <v>7</v>
      </c>
      <c r="G11" s="146">
        <v>8</v>
      </c>
      <c r="H11" s="146">
        <v>10</v>
      </c>
      <c r="I11" s="146">
        <v>12</v>
      </c>
      <c r="J11" s="146">
        <v>14</v>
      </c>
      <c r="K11" s="146">
        <v>15</v>
      </c>
      <c r="L11" s="146">
        <v>16</v>
      </c>
      <c r="M11" s="146">
        <v>18</v>
      </c>
      <c r="N11" s="146">
        <v>20</v>
      </c>
      <c r="O11" s="146">
        <v>25</v>
      </c>
      <c r="P11" s="146">
        <v>30</v>
      </c>
      <c r="Q11" s="146">
        <v>35</v>
      </c>
      <c r="R11" s="146">
        <v>40</v>
      </c>
      <c r="S11" s="146">
        <v>45</v>
      </c>
      <c r="T11" s="146">
        <v>50</v>
      </c>
      <c r="U11" s="146">
        <v>60</v>
      </c>
      <c r="V11" s="164"/>
    </row>
    <row r="12" spans="1:50" x14ac:dyDescent="0.45">
      <c r="A12" s="165" t="s">
        <v>608</v>
      </c>
      <c r="B12" s="165" t="s">
        <v>32</v>
      </c>
      <c r="C12" s="24">
        <v>20</v>
      </c>
      <c r="D12" s="26">
        <v>0.78500000000000003</v>
      </c>
      <c r="E12" s="27">
        <v>0.94199999999999995</v>
      </c>
      <c r="F12" s="27">
        <v>1.1000000000000001</v>
      </c>
      <c r="G12" s="27">
        <v>1.26</v>
      </c>
      <c r="H12" s="27">
        <v>1.57</v>
      </c>
      <c r="I12" s="27">
        <v>1.88</v>
      </c>
      <c r="J12" s="27">
        <v>2.2000000000000002</v>
      </c>
      <c r="K12" s="27">
        <v>2.36</v>
      </c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29" t="s">
        <v>41</v>
      </c>
      <c r="W12" s="56"/>
      <c r="X12" s="56"/>
      <c r="Y12" s="56"/>
      <c r="Z12" s="56"/>
      <c r="AA12" s="56"/>
      <c r="AB12" s="56"/>
    </row>
    <row r="13" spans="1:50" x14ac:dyDescent="0.45">
      <c r="A13" s="166"/>
      <c r="B13" s="166"/>
      <c r="C13" s="61">
        <v>25</v>
      </c>
      <c r="D13" s="30">
        <v>0.98099999999999998</v>
      </c>
      <c r="E13" s="31">
        <v>1.18</v>
      </c>
      <c r="F13" s="31">
        <v>1.37</v>
      </c>
      <c r="G13" s="31">
        <v>1.57</v>
      </c>
      <c r="H13" s="31">
        <v>1.96</v>
      </c>
      <c r="I13" s="31">
        <v>2.36</v>
      </c>
      <c r="J13" s="31">
        <v>2.75</v>
      </c>
      <c r="K13" s="31">
        <v>2.94</v>
      </c>
      <c r="L13" s="32">
        <v>3.14</v>
      </c>
      <c r="M13" s="32">
        <v>3.53</v>
      </c>
      <c r="N13" s="62"/>
      <c r="O13" s="62"/>
      <c r="P13" s="62"/>
      <c r="Q13" s="62"/>
      <c r="R13" s="62"/>
      <c r="S13" s="62"/>
      <c r="T13" s="62"/>
      <c r="U13" s="62"/>
      <c r="V13" s="34" t="s">
        <v>41</v>
      </c>
      <c r="W13" s="56"/>
      <c r="X13" s="56"/>
      <c r="Y13" s="56"/>
      <c r="Z13" s="56"/>
      <c r="AA13" s="56"/>
      <c r="AB13" s="56"/>
    </row>
    <row r="14" spans="1:50" x14ac:dyDescent="0.45">
      <c r="A14" s="166"/>
      <c r="B14" s="166"/>
      <c r="C14" s="61">
        <v>30</v>
      </c>
      <c r="D14" s="35">
        <v>1.18</v>
      </c>
      <c r="E14" s="36">
        <v>1.41</v>
      </c>
      <c r="F14" s="36">
        <v>1.65</v>
      </c>
      <c r="G14" s="36">
        <v>1.88</v>
      </c>
      <c r="H14" s="36">
        <v>2.36</v>
      </c>
      <c r="I14" s="36">
        <v>2.83</v>
      </c>
      <c r="J14" s="36">
        <v>3.3</v>
      </c>
      <c r="K14" s="36">
        <v>3.53</v>
      </c>
      <c r="L14" s="37">
        <v>3.77</v>
      </c>
      <c r="M14" s="37">
        <v>4.24</v>
      </c>
      <c r="N14" s="36">
        <v>4.71</v>
      </c>
      <c r="O14" s="36"/>
      <c r="P14" s="63"/>
      <c r="Q14" s="63"/>
      <c r="R14" s="63"/>
      <c r="S14" s="63"/>
      <c r="T14" s="63"/>
      <c r="U14" s="63"/>
      <c r="V14" s="29" t="s">
        <v>41</v>
      </c>
      <c r="W14" s="56"/>
      <c r="X14" s="56"/>
      <c r="Y14" s="56"/>
      <c r="Z14" s="56"/>
      <c r="AA14" s="56"/>
      <c r="AB14" s="56"/>
    </row>
    <row r="15" spans="1:50" x14ac:dyDescent="0.45">
      <c r="A15" s="166"/>
      <c r="B15" s="166"/>
      <c r="C15" s="61">
        <v>35</v>
      </c>
      <c r="D15" s="30">
        <v>1.37</v>
      </c>
      <c r="E15" s="31">
        <v>1.65</v>
      </c>
      <c r="F15" s="31">
        <v>1.92</v>
      </c>
      <c r="G15" s="31">
        <v>2.2000000000000002</v>
      </c>
      <c r="H15" s="31">
        <v>2.75</v>
      </c>
      <c r="I15" s="31">
        <v>3.3</v>
      </c>
      <c r="J15" s="31">
        <v>3.85</v>
      </c>
      <c r="K15" s="31">
        <v>4.12</v>
      </c>
      <c r="L15" s="32">
        <v>4.4000000000000004</v>
      </c>
      <c r="M15" s="32">
        <v>4.95</v>
      </c>
      <c r="N15" s="32">
        <v>5.5</v>
      </c>
      <c r="O15" s="32">
        <v>6.87</v>
      </c>
      <c r="P15" s="62"/>
      <c r="Q15" s="62"/>
      <c r="R15" s="62"/>
      <c r="S15" s="62"/>
      <c r="T15" s="62"/>
      <c r="U15" s="62"/>
      <c r="V15" s="34" t="s">
        <v>41</v>
      </c>
      <c r="W15" s="56"/>
      <c r="X15" s="56"/>
      <c r="Y15" s="56"/>
      <c r="Z15" s="56"/>
      <c r="AA15" s="56"/>
      <c r="AB15" s="56"/>
    </row>
    <row r="16" spans="1:50" x14ac:dyDescent="0.45">
      <c r="A16" s="166"/>
      <c r="B16" s="166"/>
      <c r="C16" s="61">
        <v>40</v>
      </c>
      <c r="D16" s="35">
        <v>1.57</v>
      </c>
      <c r="E16" s="36">
        <v>1.88</v>
      </c>
      <c r="F16" s="36">
        <v>2.2000000000000002</v>
      </c>
      <c r="G16" s="36">
        <v>2.5099999999999998</v>
      </c>
      <c r="H16" s="36">
        <v>3.14</v>
      </c>
      <c r="I16" s="36">
        <v>3.77</v>
      </c>
      <c r="J16" s="36">
        <v>4.4000000000000004</v>
      </c>
      <c r="K16" s="36">
        <v>4.71</v>
      </c>
      <c r="L16" s="37">
        <v>5.0199999999999996</v>
      </c>
      <c r="M16" s="37">
        <v>5.65</v>
      </c>
      <c r="N16" s="37">
        <v>6.28</v>
      </c>
      <c r="O16" s="37">
        <v>7.85</v>
      </c>
      <c r="P16" s="36">
        <v>9.42</v>
      </c>
      <c r="Q16" s="36"/>
      <c r="R16" s="63"/>
      <c r="S16" s="63"/>
      <c r="T16" s="63"/>
      <c r="U16" s="63"/>
      <c r="V16" s="29" t="s">
        <v>41</v>
      </c>
      <c r="W16" s="56"/>
      <c r="X16" s="56"/>
      <c r="Y16" s="56"/>
      <c r="Z16" s="56"/>
      <c r="AA16" s="56"/>
      <c r="AB16" s="56"/>
    </row>
    <row r="17" spans="1:28" x14ac:dyDescent="0.45">
      <c r="A17" s="166"/>
      <c r="B17" s="166"/>
      <c r="C17" s="61">
        <v>45</v>
      </c>
      <c r="D17" s="30">
        <v>1.77</v>
      </c>
      <c r="E17" s="31">
        <v>2.12</v>
      </c>
      <c r="F17" s="31">
        <v>2.4700000000000002</v>
      </c>
      <c r="G17" s="31">
        <v>2.83</v>
      </c>
      <c r="H17" s="31">
        <v>3.53</v>
      </c>
      <c r="I17" s="31">
        <v>4.24</v>
      </c>
      <c r="J17" s="31">
        <v>4.95</v>
      </c>
      <c r="K17" s="31">
        <v>5.3</v>
      </c>
      <c r="L17" s="32">
        <v>5.65</v>
      </c>
      <c r="M17" s="32">
        <v>6.36</v>
      </c>
      <c r="N17" s="32">
        <v>7.07</v>
      </c>
      <c r="O17" s="32">
        <v>8.83</v>
      </c>
      <c r="P17" s="31">
        <v>10.6</v>
      </c>
      <c r="Q17" s="31"/>
      <c r="R17" s="62"/>
      <c r="S17" s="62"/>
      <c r="T17" s="62"/>
      <c r="U17" s="62"/>
      <c r="V17" s="34" t="s">
        <v>41</v>
      </c>
      <c r="W17" s="56"/>
      <c r="X17" s="56"/>
      <c r="Y17" s="56"/>
      <c r="Z17" s="56"/>
      <c r="AA17" s="56"/>
      <c r="AB17" s="56"/>
    </row>
    <row r="18" spans="1:28" x14ac:dyDescent="0.45">
      <c r="A18" s="166"/>
      <c r="B18" s="166"/>
      <c r="C18" s="61">
        <v>50</v>
      </c>
      <c r="D18" s="35">
        <v>1.96</v>
      </c>
      <c r="E18" s="36">
        <v>2.36</v>
      </c>
      <c r="F18" s="36">
        <v>2.75</v>
      </c>
      <c r="G18" s="36">
        <v>3.14</v>
      </c>
      <c r="H18" s="36">
        <v>3.93</v>
      </c>
      <c r="I18" s="36">
        <v>4.71</v>
      </c>
      <c r="J18" s="36">
        <v>5.5</v>
      </c>
      <c r="K18" s="36">
        <v>5.89</v>
      </c>
      <c r="L18" s="37">
        <v>6.28</v>
      </c>
      <c r="M18" s="37">
        <v>7.07</v>
      </c>
      <c r="N18" s="37">
        <v>7.85</v>
      </c>
      <c r="O18" s="37">
        <v>9.81</v>
      </c>
      <c r="P18" s="37">
        <v>11.8</v>
      </c>
      <c r="Q18" s="37">
        <v>13.7</v>
      </c>
      <c r="R18" s="63"/>
      <c r="S18" s="63"/>
      <c r="T18" s="63"/>
      <c r="U18" s="63"/>
      <c r="V18" s="29" t="s">
        <v>41</v>
      </c>
    </row>
    <row r="19" spans="1:28" x14ac:dyDescent="0.45">
      <c r="A19" s="166"/>
      <c r="B19" s="166"/>
      <c r="C19" s="61">
        <v>55</v>
      </c>
      <c r="D19" s="30">
        <v>2.16</v>
      </c>
      <c r="E19" s="31">
        <v>2.59</v>
      </c>
      <c r="F19" s="31">
        <v>3.02</v>
      </c>
      <c r="G19" s="31">
        <v>3.45</v>
      </c>
      <c r="H19" s="31">
        <v>4.32</v>
      </c>
      <c r="I19" s="31">
        <v>5.18</v>
      </c>
      <c r="J19" s="31">
        <v>6.04</v>
      </c>
      <c r="K19" s="31">
        <v>6.48</v>
      </c>
      <c r="L19" s="32">
        <v>6.91</v>
      </c>
      <c r="M19" s="32">
        <v>7.77</v>
      </c>
      <c r="N19" s="32">
        <v>8.64</v>
      </c>
      <c r="O19" s="32">
        <v>10.8</v>
      </c>
      <c r="P19" s="32">
        <v>13</v>
      </c>
      <c r="Q19" s="32">
        <v>15.1</v>
      </c>
      <c r="R19" s="62"/>
      <c r="S19" s="62"/>
      <c r="T19" s="62"/>
      <c r="U19" s="62"/>
      <c r="V19" s="34" t="s">
        <v>41</v>
      </c>
    </row>
    <row r="20" spans="1:28" x14ac:dyDescent="0.45">
      <c r="A20" s="166"/>
      <c r="B20" s="166"/>
      <c r="C20" s="61">
        <v>60</v>
      </c>
      <c r="D20" s="35">
        <v>2.36</v>
      </c>
      <c r="E20" s="36">
        <v>2.83</v>
      </c>
      <c r="F20" s="36">
        <v>3.3</v>
      </c>
      <c r="G20" s="36">
        <v>3.77</v>
      </c>
      <c r="H20" s="36">
        <v>4.71</v>
      </c>
      <c r="I20" s="36">
        <v>5.65</v>
      </c>
      <c r="J20" s="36">
        <v>6.59</v>
      </c>
      <c r="K20" s="36">
        <v>7.07</v>
      </c>
      <c r="L20" s="37">
        <v>7.54</v>
      </c>
      <c r="M20" s="37">
        <v>8.48</v>
      </c>
      <c r="N20" s="37">
        <v>9.42</v>
      </c>
      <c r="O20" s="37">
        <v>11.8</v>
      </c>
      <c r="P20" s="37">
        <v>14.1</v>
      </c>
      <c r="Q20" s="37">
        <v>16.5</v>
      </c>
      <c r="R20" s="36">
        <v>18.8</v>
      </c>
      <c r="S20" s="36"/>
      <c r="T20" s="63"/>
      <c r="U20" s="63"/>
      <c r="V20" s="29" t="s">
        <v>41</v>
      </c>
    </row>
    <row r="21" spans="1:28" x14ac:dyDescent="0.45">
      <c r="A21" s="166"/>
      <c r="B21" s="166"/>
      <c r="C21" s="61">
        <v>65</v>
      </c>
      <c r="D21" s="30">
        <v>2.5499999999999998</v>
      </c>
      <c r="E21" s="31">
        <v>3.06</v>
      </c>
      <c r="F21" s="31">
        <v>3.57</v>
      </c>
      <c r="G21" s="31">
        <v>4.08</v>
      </c>
      <c r="H21" s="31">
        <v>5.0999999999999996</v>
      </c>
      <c r="I21" s="31">
        <v>6.12</v>
      </c>
      <c r="J21" s="31">
        <v>7.14</v>
      </c>
      <c r="K21" s="31">
        <v>7.65</v>
      </c>
      <c r="L21" s="32">
        <v>8.16</v>
      </c>
      <c r="M21" s="32">
        <v>9.18</v>
      </c>
      <c r="N21" s="32">
        <v>10.199999999999999</v>
      </c>
      <c r="O21" s="32">
        <v>12.8</v>
      </c>
      <c r="P21" s="32">
        <v>15.3</v>
      </c>
      <c r="Q21" s="32">
        <v>17.899999999999999</v>
      </c>
      <c r="R21" s="32">
        <v>20.399999999999999</v>
      </c>
      <c r="S21" s="32">
        <v>23</v>
      </c>
      <c r="T21" s="62"/>
      <c r="U21" s="62"/>
      <c r="V21" s="34" t="s">
        <v>41</v>
      </c>
    </row>
    <row r="22" spans="1:28" x14ac:dyDescent="0.45">
      <c r="A22" s="166"/>
      <c r="B22" s="166"/>
      <c r="C22" s="61">
        <v>70</v>
      </c>
      <c r="D22" s="35">
        <v>2.75</v>
      </c>
      <c r="E22" s="36">
        <v>3.3</v>
      </c>
      <c r="F22" s="36">
        <v>3.85</v>
      </c>
      <c r="G22" s="36">
        <v>4.4000000000000004</v>
      </c>
      <c r="H22" s="36">
        <v>5.5</v>
      </c>
      <c r="I22" s="36">
        <v>6.59</v>
      </c>
      <c r="J22" s="36">
        <v>7.69</v>
      </c>
      <c r="K22" s="36">
        <v>8.24</v>
      </c>
      <c r="L22" s="37">
        <v>8.7899999999999991</v>
      </c>
      <c r="M22" s="37">
        <v>9.89</v>
      </c>
      <c r="N22" s="37">
        <v>11</v>
      </c>
      <c r="O22" s="37">
        <v>13.7</v>
      </c>
      <c r="P22" s="37">
        <v>16.5</v>
      </c>
      <c r="Q22" s="37">
        <v>19.2</v>
      </c>
      <c r="R22" s="37">
        <v>22</v>
      </c>
      <c r="S22" s="37">
        <v>24.7</v>
      </c>
      <c r="T22" s="36">
        <v>27.5</v>
      </c>
      <c r="U22" s="36"/>
      <c r="V22" s="29" t="s">
        <v>41</v>
      </c>
    </row>
    <row r="23" spans="1:28" x14ac:dyDescent="0.45">
      <c r="A23" s="166"/>
      <c r="B23" s="166"/>
      <c r="C23" s="61">
        <v>75</v>
      </c>
      <c r="D23" s="64">
        <v>2.94</v>
      </c>
      <c r="E23" s="65">
        <v>3.53</v>
      </c>
      <c r="F23" s="62"/>
      <c r="G23" s="65">
        <v>4.71</v>
      </c>
      <c r="H23" s="65">
        <v>5.89</v>
      </c>
      <c r="I23" s="65">
        <v>7.07</v>
      </c>
      <c r="J23" s="62"/>
      <c r="K23" s="65">
        <v>8.83</v>
      </c>
      <c r="L23" s="65">
        <v>9.42</v>
      </c>
      <c r="M23" s="65"/>
      <c r="N23" s="32">
        <v>11.8</v>
      </c>
      <c r="O23" s="32">
        <v>14.7</v>
      </c>
      <c r="P23" s="32">
        <v>17.7</v>
      </c>
      <c r="Q23" s="32">
        <v>20.6</v>
      </c>
      <c r="R23" s="65">
        <v>23.6</v>
      </c>
      <c r="S23" s="65"/>
      <c r="T23" s="62"/>
      <c r="U23" s="62"/>
      <c r="V23" s="34" t="s">
        <v>41</v>
      </c>
    </row>
    <row r="24" spans="1:28" x14ac:dyDescent="0.45">
      <c r="A24" s="166"/>
      <c r="B24" s="166"/>
      <c r="C24" s="61">
        <v>80</v>
      </c>
      <c r="D24" s="35">
        <v>3.14</v>
      </c>
      <c r="E24" s="36">
        <v>3.77</v>
      </c>
      <c r="F24" s="36">
        <v>4.4000000000000004</v>
      </c>
      <c r="G24" s="36">
        <v>5.0199999999999996</v>
      </c>
      <c r="H24" s="36">
        <v>6.28</v>
      </c>
      <c r="I24" s="36">
        <v>7.54</v>
      </c>
      <c r="J24" s="36">
        <v>8.7899999999999991</v>
      </c>
      <c r="K24" s="36">
        <v>9.42</v>
      </c>
      <c r="L24" s="37">
        <v>10</v>
      </c>
      <c r="M24" s="37">
        <v>11.3</v>
      </c>
      <c r="N24" s="37">
        <v>12.6</v>
      </c>
      <c r="O24" s="37">
        <v>15.7</v>
      </c>
      <c r="P24" s="37">
        <v>18.8</v>
      </c>
      <c r="Q24" s="37">
        <v>22</v>
      </c>
      <c r="R24" s="37">
        <v>25.1</v>
      </c>
      <c r="S24" s="37">
        <v>28.3</v>
      </c>
      <c r="T24" s="36">
        <v>31.4</v>
      </c>
      <c r="U24" s="36"/>
      <c r="V24" s="29" t="s">
        <v>41</v>
      </c>
    </row>
    <row r="25" spans="1:28" x14ac:dyDescent="0.45">
      <c r="A25" s="166"/>
      <c r="B25" s="166"/>
      <c r="C25" s="61">
        <v>90</v>
      </c>
      <c r="D25" s="30">
        <v>3.53</v>
      </c>
      <c r="E25" s="31">
        <v>4.24</v>
      </c>
      <c r="F25" s="31">
        <v>4.95</v>
      </c>
      <c r="G25" s="31">
        <v>5.65</v>
      </c>
      <c r="H25" s="31">
        <v>7.07</v>
      </c>
      <c r="I25" s="31">
        <v>8.48</v>
      </c>
      <c r="J25" s="31">
        <v>9.89</v>
      </c>
      <c r="K25" s="31">
        <v>10.6</v>
      </c>
      <c r="L25" s="32">
        <v>11.3</v>
      </c>
      <c r="M25" s="32">
        <v>12.7</v>
      </c>
      <c r="N25" s="32">
        <v>14.1</v>
      </c>
      <c r="O25" s="32">
        <v>17.7</v>
      </c>
      <c r="P25" s="32">
        <v>21.2</v>
      </c>
      <c r="Q25" s="32">
        <v>24.7</v>
      </c>
      <c r="R25" s="32">
        <v>28.3</v>
      </c>
      <c r="S25" s="32">
        <v>31.8</v>
      </c>
      <c r="T25" s="31">
        <v>35.299999999999997</v>
      </c>
      <c r="U25" s="31"/>
      <c r="V25" s="34" t="s">
        <v>41</v>
      </c>
    </row>
    <row r="26" spans="1:28" x14ac:dyDescent="0.45">
      <c r="A26" s="166"/>
      <c r="B26" s="166"/>
      <c r="C26" s="61">
        <v>100</v>
      </c>
      <c r="D26" s="35">
        <v>3.93</v>
      </c>
      <c r="E26" s="36">
        <v>4.71</v>
      </c>
      <c r="F26" s="36">
        <v>5.5</v>
      </c>
      <c r="G26" s="36">
        <v>6.28</v>
      </c>
      <c r="H26" s="36">
        <v>7.85</v>
      </c>
      <c r="I26" s="36">
        <v>9.42</v>
      </c>
      <c r="J26" s="36">
        <v>11</v>
      </c>
      <c r="K26" s="36">
        <v>11.8</v>
      </c>
      <c r="L26" s="37">
        <v>12.6</v>
      </c>
      <c r="M26" s="37">
        <v>14.1</v>
      </c>
      <c r="N26" s="37">
        <v>15.7</v>
      </c>
      <c r="O26" s="37">
        <v>19.600000000000001</v>
      </c>
      <c r="P26" s="37">
        <v>23.6</v>
      </c>
      <c r="Q26" s="37">
        <v>27.5</v>
      </c>
      <c r="R26" s="37">
        <v>31.4</v>
      </c>
      <c r="S26" s="37">
        <v>35.299999999999997</v>
      </c>
      <c r="T26" s="63"/>
      <c r="U26" s="63"/>
      <c r="V26" s="29" t="s">
        <v>41</v>
      </c>
    </row>
    <row r="27" spans="1:28" x14ac:dyDescent="0.45">
      <c r="A27" s="166"/>
      <c r="B27" s="166"/>
      <c r="C27" s="61">
        <v>110</v>
      </c>
      <c r="D27" s="30">
        <v>4.32</v>
      </c>
      <c r="E27" s="31">
        <v>5.18</v>
      </c>
      <c r="F27" s="31">
        <v>6.04</v>
      </c>
      <c r="G27" s="31">
        <v>6.91</v>
      </c>
      <c r="H27" s="31">
        <v>8.64</v>
      </c>
      <c r="I27" s="31">
        <v>10.4</v>
      </c>
      <c r="J27" s="31">
        <v>12.1</v>
      </c>
      <c r="K27" s="31">
        <v>13</v>
      </c>
      <c r="L27" s="32">
        <v>13.8</v>
      </c>
      <c r="M27" s="32">
        <v>15.5</v>
      </c>
      <c r="N27" s="32">
        <v>17.3</v>
      </c>
      <c r="O27" s="32">
        <v>21.6</v>
      </c>
      <c r="P27" s="32">
        <v>25.9</v>
      </c>
      <c r="Q27" s="32">
        <v>30.2</v>
      </c>
      <c r="R27" s="31">
        <v>34.5</v>
      </c>
      <c r="S27" s="31"/>
      <c r="T27" s="62"/>
      <c r="U27" s="62"/>
      <c r="V27" s="34" t="s">
        <v>41</v>
      </c>
    </row>
    <row r="28" spans="1:28" x14ac:dyDescent="0.45">
      <c r="A28" s="166"/>
      <c r="B28" s="166"/>
      <c r="C28" s="61">
        <v>120</v>
      </c>
      <c r="D28" s="35">
        <v>4.71</v>
      </c>
      <c r="E28" s="36">
        <v>5.65</v>
      </c>
      <c r="F28" s="36">
        <v>6.59</v>
      </c>
      <c r="G28" s="36">
        <v>7.54</v>
      </c>
      <c r="H28" s="36">
        <v>9.42</v>
      </c>
      <c r="I28" s="36">
        <v>11.3</v>
      </c>
      <c r="J28" s="36">
        <v>13.2</v>
      </c>
      <c r="K28" s="36">
        <v>14.1</v>
      </c>
      <c r="L28" s="37">
        <v>15.1</v>
      </c>
      <c r="M28" s="37">
        <v>17</v>
      </c>
      <c r="N28" s="37">
        <v>18.8</v>
      </c>
      <c r="O28" s="37">
        <v>23.6</v>
      </c>
      <c r="P28" s="36">
        <v>28.3</v>
      </c>
      <c r="Q28" s="36"/>
      <c r="R28" s="63"/>
      <c r="S28" s="63"/>
      <c r="T28" s="63"/>
      <c r="U28" s="63"/>
      <c r="V28" s="29" t="s">
        <v>41</v>
      </c>
    </row>
    <row r="29" spans="1:28" x14ac:dyDescent="0.45">
      <c r="A29" s="166"/>
      <c r="B29" s="166"/>
      <c r="C29" s="61">
        <v>130</v>
      </c>
      <c r="D29" s="5"/>
      <c r="E29" s="62"/>
      <c r="F29" s="62"/>
      <c r="G29" s="31">
        <v>8.16</v>
      </c>
      <c r="H29" s="31">
        <v>10.199999999999999</v>
      </c>
      <c r="I29" s="31">
        <v>12.3</v>
      </c>
      <c r="J29" s="31">
        <v>14.3</v>
      </c>
      <c r="K29" s="31">
        <v>15.3</v>
      </c>
      <c r="L29" s="32">
        <v>16.3</v>
      </c>
      <c r="M29" s="32">
        <v>18.399999999999999</v>
      </c>
      <c r="N29" s="32">
        <v>20.399999999999999</v>
      </c>
      <c r="O29" s="32">
        <v>25.5</v>
      </c>
      <c r="P29" s="32">
        <v>30.6</v>
      </c>
      <c r="Q29" s="32">
        <v>35.700000000000003</v>
      </c>
      <c r="R29" s="32">
        <v>40.799999999999997</v>
      </c>
      <c r="S29" s="32">
        <v>45.9</v>
      </c>
      <c r="T29" s="32">
        <v>51</v>
      </c>
      <c r="U29" s="32">
        <v>62.2</v>
      </c>
      <c r="V29" s="34" t="s">
        <v>41</v>
      </c>
    </row>
    <row r="30" spans="1:28" x14ac:dyDescent="0.45">
      <c r="A30" s="166"/>
      <c r="B30" s="166"/>
      <c r="C30" s="61">
        <v>140</v>
      </c>
      <c r="D30" s="7"/>
      <c r="E30" s="63"/>
      <c r="F30" s="63"/>
      <c r="G30" s="36">
        <v>8.7899999999999991</v>
      </c>
      <c r="H30" s="36">
        <v>11</v>
      </c>
      <c r="I30" s="36">
        <v>13.2</v>
      </c>
      <c r="J30" s="36">
        <v>15.4</v>
      </c>
      <c r="K30" s="36">
        <v>16.5</v>
      </c>
      <c r="L30" s="37">
        <v>17.600000000000001</v>
      </c>
      <c r="M30" s="37">
        <v>19.8</v>
      </c>
      <c r="N30" s="37">
        <v>22</v>
      </c>
      <c r="O30" s="37">
        <v>27.5</v>
      </c>
      <c r="P30" s="37">
        <v>33</v>
      </c>
      <c r="Q30" s="37">
        <v>38.5</v>
      </c>
      <c r="R30" s="37">
        <v>44</v>
      </c>
      <c r="S30" s="37">
        <v>49.5</v>
      </c>
      <c r="T30" s="37">
        <v>55</v>
      </c>
      <c r="U30" s="37">
        <v>65.900000000000006</v>
      </c>
      <c r="V30" s="29" t="s">
        <v>41</v>
      </c>
    </row>
    <row r="31" spans="1:28" x14ac:dyDescent="0.45">
      <c r="A31" s="166"/>
      <c r="B31" s="166"/>
      <c r="C31" s="61">
        <v>150</v>
      </c>
      <c r="D31" s="5"/>
      <c r="E31" s="62"/>
      <c r="F31" s="62"/>
      <c r="G31" s="31">
        <v>9.42</v>
      </c>
      <c r="H31" s="31">
        <v>11.8</v>
      </c>
      <c r="I31" s="31">
        <v>14.1</v>
      </c>
      <c r="J31" s="31">
        <v>16.5</v>
      </c>
      <c r="K31" s="31">
        <v>17.7</v>
      </c>
      <c r="L31" s="32">
        <v>18.8</v>
      </c>
      <c r="M31" s="32">
        <v>21.2</v>
      </c>
      <c r="N31" s="32">
        <v>23.6</v>
      </c>
      <c r="O31" s="32">
        <v>29.4</v>
      </c>
      <c r="P31" s="32">
        <v>35.299999999999997</v>
      </c>
      <c r="Q31" s="32">
        <v>41.2</v>
      </c>
      <c r="R31" s="32">
        <v>47.1</v>
      </c>
      <c r="S31" s="32">
        <v>53</v>
      </c>
      <c r="T31" s="32">
        <v>58.9</v>
      </c>
      <c r="U31" s="32">
        <v>70.7</v>
      </c>
      <c r="V31" s="34" t="s">
        <v>41</v>
      </c>
    </row>
    <row r="32" spans="1:28" x14ac:dyDescent="0.45">
      <c r="A32" s="166"/>
      <c r="B32" s="166"/>
      <c r="C32" s="61">
        <v>160</v>
      </c>
      <c r="D32" s="7"/>
      <c r="E32" s="63"/>
      <c r="F32" s="63"/>
      <c r="G32" s="36">
        <v>10.1</v>
      </c>
      <c r="H32" s="36">
        <v>12.6</v>
      </c>
      <c r="I32" s="36">
        <v>15.1</v>
      </c>
      <c r="J32" s="36">
        <v>17.600000000000001</v>
      </c>
      <c r="K32" s="36">
        <v>18.8</v>
      </c>
      <c r="L32" s="37">
        <v>20.100000000000001</v>
      </c>
      <c r="M32" s="37">
        <v>22.6</v>
      </c>
      <c r="N32" s="37">
        <v>25.1</v>
      </c>
      <c r="O32" s="37">
        <v>31.4</v>
      </c>
      <c r="P32" s="37">
        <v>37.700000000000003</v>
      </c>
      <c r="Q32" s="37">
        <v>44</v>
      </c>
      <c r="R32" s="37">
        <v>50.2</v>
      </c>
      <c r="S32" s="37">
        <v>56.5</v>
      </c>
      <c r="T32" s="37">
        <v>62.8</v>
      </c>
      <c r="U32" s="37">
        <v>75.400000000000006</v>
      </c>
      <c r="V32" s="29" t="s">
        <v>41</v>
      </c>
    </row>
    <row r="33" spans="1:28" x14ac:dyDescent="0.45">
      <c r="A33" s="166"/>
      <c r="B33" s="166"/>
      <c r="C33" s="61">
        <v>170</v>
      </c>
      <c r="D33" s="5"/>
      <c r="E33" s="62"/>
      <c r="F33" s="62"/>
      <c r="G33" s="31">
        <v>10.7</v>
      </c>
      <c r="H33" s="31">
        <v>13.3</v>
      </c>
      <c r="I33" s="31">
        <v>16</v>
      </c>
      <c r="J33" s="31">
        <v>18.7</v>
      </c>
      <c r="K33" s="31">
        <v>20</v>
      </c>
      <c r="L33" s="32">
        <v>21.4</v>
      </c>
      <c r="M33" s="32">
        <v>24</v>
      </c>
      <c r="N33" s="32">
        <v>26.7</v>
      </c>
      <c r="O33" s="32">
        <v>33.4</v>
      </c>
      <c r="P33" s="32">
        <v>40</v>
      </c>
      <c r="Q33" s="32">
        <v>46.7</v>
      </c>
      <c r="R33" s="32">
        <v>53.4</v>
      </c>
      <c r="S33" s="32">
        <v>60.1</v>
      </c>
      <c r="T33" s="32">
        <v>66.7</v>
      </c>
      <c r="U33" s="32">
        <v>80.099999999999994</v>
      </c>
      <c r="V33" s="34" t="s">
        <v>41</v>
      </c>
    </row>
    <row r="34" spans="1:28" x14ac:dyDescent="0.45">
      <c r="A34" s="166"/>
      <c r="B34" s="166"/>
      <c r="C34" s="32">
        <v>180</v>
      </c>
      <c r="D34" s="7"/>
      <c r="E34" s="63"/>
      <c r="F34" s="63"/>
      <c r="G34" s="36">
        <v>11.3</v>
      </c>
      <c r="H34" s="36">
        <v>14.1</v>
      </c>
      <c r="I34" s="36">
        <v>17</v>
      </c>
      <c r="J34" s="36">
        <v>19.8</v>
      </c>
      <c r="K34" s="36">
        <v>21.2</v>
      </c>
      <c r="L34" s="37">
        <v>22.6</v>
      </c>
      <c r="M34" s="37">
        <v>25.4</v>
      </c>
      <c r="N34" s="37">
        <v>28.3</v>
      </c>
      <c r="O34" s="37">
        <v>35.299999999999997</v>
      </c>
      <c r="P34" s="63"/>
      <c r="Q34" s="63"/>
      <c r="R34" s="63"/>
      <c r="S34" s="63"/>
      <c r="T34" s="63"/>
      <c r="U34" s="63"/>
      <c r="V34" s="29" t="s">
        <v>41</v>
      </c>
      <c r="W34" s="56"/>
      <c r="X34" s="56"/>
      <c r="Y34" s="56"/>
      <c r="Z34" s="56"/>
      <c r="AA34" s="56"/>
      <c r="AB34" s="56"/>
    </row>
    <row r="35" spans="1:28" x14ac:dyDescent="0.45">
      <c r="A35" s="166"/>
      <c r="B35" s="166"/>
      <c r="C35" s="32">
        <v>200</v>
      </c>
      <c r="D35" s="5"/>
      <c r="E35" s="62"/>
      <c r="F35" s="62"/>
      <c r="G35" s="31">
        <v>12.6</v>
      </c>
      <c r="H35" s="31">
        <v>15.7</v>
      </c>
      <c r="I35" s="31">
        <v>18.8</v>
      </c>
      <c r="J35" s="31">
        <v>22</v>
      </c>
      <c r="K35" s="31">
        <v>23.6</v>
      </c>
      <c r="L35" s="32">
        <v>25.1</v>
      </c>
      <c r="M35" s="32">
        <v>28.3</v>
      </c>
      <c r="N35" s="32">
        <v>31.4</v>
      </c>
      <c r="O35" s="32">
        <v>39.299999999999997</v>
      </c>
      <c r="P35" s="32">
        <v>47.1</v>
      </c>
      <c r="Q35" s="32">
        <v>55</v>
      </c>
      <c r="R35" s="31">
        <v>62.8</v>
      </c>
      <c r="S35" s="31"/>
      <c r="T35" s="62"/>
      <c r="U35" s="62"/>
      <c r="V35" s="34" t="s">
        <v>41</v>
      </c>
      <c r="W35" s="56"/>
      <c r="X35" s="56"/>
      <c r="Y35" s="56"/>
      <c r="Z35" s="56"/>
      <c r="AA35" s="56"/>
      <c r="AB35" s="56"/>
    </row>
    <row r="36" spans="1:28" x14ac:dyDescent="0.45">
      <c r="A36" s="166"/>
      <c r="B36" s="166"/>
      <c r="C36" s="32">
        <v>220</v>
      </c>
      <c r="D36" s="7"/>
      <c r="E36" s="63"/>
      <c r="F36" s="63"/>
      <c r="G36" s="63"/>
      <c r="H36" s="36">
        <v>17.3</v>
      </c>
      <c r="I36" s="36">
        <v>20.7</v>
      </c>
      <c r="J36" s="63"/>
      <c r="K36" s="36">
        <v>25.9</v>
      </c>
      <c r="L36" s="63"/>
      <c r="M36" s="63"/>
      <c r="N36" s="37">
        <v>34.5</v>
      </c>
      <c r="O36" s="37">
        <v>43.2</v>
      </c>
      <c r="P36" s="37">
        <v>51.8</v>
      </c>
      <c r="Q36" s="37">
        <v>60.4</v>
      </c>
      <c r="R36" s="36">
        <v>69.099999999999994</v>
      </c>
      <c r="S36" s="36"/>
      <c r="T36" s="63"/>
      <c r="U36" s="63"/>
      <c r="V36" s="29" t="s">
        <v>41</v>
      </c>
      <c r="W36" s="56"/>
      <c r="X36" s="56"/>
      <c r="Y36" s="56"/>
      <c r="Z36" s="56"/>
      <c r="AA36" s="56"/>
      <c r="AB36" s="56"/>
    </row>
    <row r="37" spans="1:28" x14ac:dyDescent="0.45">
      <c r="A37" s="166"/>
      <c r="B37" s="166"/>
      <c r="C37" s="32">
        <v>250</v>
      </c>
      <c r="D37" s="5"/>
      <c r="E37" s="62"/>
      <c r="F37" s="62"/>
      <c r="G37" s="62"/>
      <c r="H37" s="31">
        <v>19.600000000000001</v>
      </c>
      <c r="I37" s="31">
        <v>23.6</v>
      </c>
      <c r="J37" s="62"/>
      <c r="K37" s="31">
        <v>29.4</v>
      </c>
      <c r="L37" s="62"/>
      <c r="M37" s="62"/>
      <c r="N37" s="32">
        <v>39.299999999999997</v>
      </c>
      <c r="O37" s="32">
        <v>49.1</v>
      </c>
      <c r="P37" s="32">
        <v>58.9</v>
      </c>
      <c r="Q37" s="32">
        <v>68.7</v>
      </c>
      <c r="R37" s="31">
        <v>78.5</v>
      </c>
      <c r="S37" s="31"/>
      <c r="T37" s="62"/>
      <c r="U37" s="62"/>
      <c r="V37" s="34" t="s">
        <v>41</v>
      </c>
      <c r="W37" s="56"/>
      <c r="X37" s="56"/>
      <c r="Y37" s="56"/>
      <c r="Z37" s="56"/>
      <c r="AA37" s="56"/>
      <c r="AB37" s="56"/>
    </row>
    <row r="38" spans="1:28" x14ac:dyDescent="0.45">
      <c r="A38" s="166"/>
      <c r="B38" s="166"/>
      <c r="C38" s="32">
        <v>300</v>
      </c>
      <c r="D38" s="7"/>
      <c r="E38" s="63"/>
      <c r="F38" s="63"/>
      <c r="G38" s="63"/>
      <c r="H38" s="36">
        <v>23.6</v>
      </c>
      <c r="I38" s="36">
        <v>28.3</v>
      </c>
      <c r="J38" s="63"/>
      <c r="K38" s="36">
        <v>35.299999999999997</v>
      </c>
      <c r="L38" s="63"/>
      <c r="M38" s="63"/>
      <c r="N38" s="37">
        <v>47.1</v>
      </c>
      <c r="O38" s="37">
        <v>58.9</v>
      </c>
      <c r="P38" s="37">
        <v>70.7</v>
      </c>
      <c r="Q38" s="37">
        <v>82.4</v>
      </c>
      <c r="R38" s="36">
        <v>94.2</v>
      </c>
      <c r="S38" s="36"/>
      <c r="T38" s="63"/>
      <c r="U38" s="63"/>
      <c r="V38" s="29" t="s">
        <v>41</v>
      </c>
      <c r="W38" s="56"/>
      <c r="X38" s="56"/>
      <c r="Y38" s="56"/>
      <c r="Z38" s="56"/>
      <c r="AA38" s="56"/>
      <c r="AB38" s="56"/>
    </row>
    <row r="39" spans="1:28" x14ac:dyDescent="0.45">
      <c r="A39" s="166"/>
      <c r="B39" s="166"/>
      <c r="C39" s="32">
        <v>350</v>
      </c>
      <c r="D39" s="5"/>
      <c r="E39" s="62"/>
      <c r="F39" s="62"/>
      <c r="G39" s="62"/>
      <c r="H39" s="31">
        <v>27.5</v>
      </c>
      <c r="I39" s="31">
        <v>33</v>
      </c>
      <c r="J39" s="62"/>
      <c r="K39" s="31">
        <v>41.2</v>
      </c>
      <c r="L39" s="62"/>
      <c r="M39" s="62"/>
      <c r="N39" s="32">
        <v>55</v>
      </c>
      <c r="O39" s="32">
        <v>68.7</v>
      </c>
      <c r="P39" s="32">
        <v>82.4</v>
      </c>
      <c r="Q39" s="32">
        <v>96.2</v>
      </c>
      <c r="R39" s="31">
        <v>110</v>
      </c>
      <c r="S39" s="31"/>
      <c r="T39" s="62"/>
      <c r="U39" s="62"/>
      <c r="V39" s="34" t="s">
        <v>41</v>
      </c>
      <c r="W39" s="56"/>
      <c r="X39" s="56"/>
      <c r="Y39" s="56"/>
      <c r="Z39" s="56"/>
      <c r="AA39" s="56"/>
      <c r="AB39" s="56"/>
    </row>
    <row r="40" spans="1:28" x14ac:dyDescent="0.45">
      <c r="A40" s="166"/>
      <c r="B40" s="166"/>
      <c r="C40" s="32">
        <v>400</v>
      </c>
      <c r="D40" s="7"/>
      <c r="E40" s="63"/>
      <c r="F40" s="63"/>
      <c r="G40" s="63"/>
      <c r="H40" s="36">
        <v>31.4</v>
      </c>
      <c r="I40" s="36">
        <v>37.700000000000003</v>
      </c>
      <c r="J40" s="63"/>
      <c r="K40" s="36">
        <v>47.1</v>
      </c>
      <c r="L40" s="63"/>
      <c r="M40" s="63"/>
      <c r="N40" s="37">
        <v>62.8</v>
      </c>
      <c r="O40" s="37">
        <v>78.5</v>
      </c>
      <c r="P40" s="37">
        <v>94.2</v>
      </c>
      <c r="Q40" s="37">
        <v>110</v>
      </c>
      <c r="R40" s="36">
        <v>126</v>
      </c>
      <c r="S40" s="36"/>
      <c r="T40" s="63"/>
      <c r="U40" s="63"/>
      <c r="V40" s="29" t="s">
        <v>41</v>
      </c>
      <c r="W40" s="56"/>
      <c r="X40" s="56"/>
      <c r="Y40" s="56"/>
      <c r="Z40" s="56"/>
      <c r="AA40" s="56"/>
      <c r="AB40" s="56"/>
    </row>
    <row r="41" spans="1:28" x14ac:dyDescent="0.45">
      <c r="V41" s="145"/>
    </row>
  </sheetData>
  <mergeCells count="5">
    <mergeCell ref="V8:V11"/>
    <mergeCell ref="A12:A40"/>
    <mergeCell ref="D9:U9"/>
    <mergeCell ref="D10:U10"/>
    <mergeCell ref="B12:B40"/>
  </mergeCells>
  <pageMargins left="0.7" right="0.7" top="0.75" bottom="0.75" header="0.3" footer="0.3"/>
  <pageSetup paperSize="2058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G30"/>
  <sheetViews>
    <sheetView workbookViewId="0">
      <selection activeCell="H9" sqref="H9"/>
    </sheetView>
  </sheetViews>
  <sheetFormatPr baseColWidth="10" defaultColWidth="11.3984375" defaultRowHeight="14.25" x14ac:dyDescent="0.45"/>
  <cols>
    <col min="1" max="1" width="11.3984375" style="51"/>
    <col min="2" max="2" width="9.265625" style="51" bestFit="1" customWidth="1"/>
    <col min="3" max="3" width="14.73046875" style="51" bestFit="1" customWidth="1"/>
    <col min="4" max="4" width="13.59765625" style="51" bestFit="1" customWidth="1"/>
    <col min="5" max="5" width="38" style="51" bestFit="1" customWidth="1"/>
    <col min="6" max="16384" width="11.3984375" style="51"/>
  </cols>
  <sheetData>
    <row r="5" spans="2:7" x14ac:dyDescent="0.45">
      <c r="F5" s="153"/>
      <c r="G5" s="153"/>
    </row>
    <row r="8" spans="2:7" ht="32.25" customHeight="1" x14ac:dyDescent="0.45">
      <c r="B8" s="149"/>
      <c r="C8" s="23"/>
      <c r="D8" s="149"/>
      <c r="E8" s="55"/>
    </row>
    <row r="9" spans="2:7" ht="38.25" customHeight="1" x14ac:dyDescent="0.45">
      <c r="B9" s="52"/>
      <c r="C9" s="53"/>
      <c r="D9" s="149"/>
      <c r="E9" s="169" t="s">
        <v>0</v>
      </c>
    </row>
    <row r="10" spans="2:7" ht="31.5" customHeight="1" x14ac:dyDescent="0.45">
      <c r="B10" s="155" t="s">
        <v>609</v>
      </c>
      <c r="C10" s="151" t="s">
        <v>610</v>
      </c>
      <c r="D10" s="151" t="s">
        <v>611</v>
      </c>
      <c r="E10" s="169"/>
    </row>
    <row r="11" spans="2:7" x14ac:dyDescent="0.45">
      <c r="B11" s="156" t="s">
        <v>32</v>
      </c>
      <c r="C11" s="150" t="s">
        <v>612</v>
      </c>
      <c r="D11" s="150" t="s">
        <v>612</v>
      </c>
      <c r="E11" s="169"/>
    </row>
    <row r="12" spans="2:7" x14ac:dyDescent="0.45">
      <c r="B12" s="29" t="s">
        <v>613</v>
      </c>
      <c r="C12" s="27"/>
      <c r="D12" s="26">
        <v>7.07</v>
      </c>
      <c r="E12" s="40" t="s">
        <v>41</v>
      </c>
    </row>
    <row r="13" spans="2:7" x14ac:dyDescent="0.45">
      <c r="B13" s="33" t="s">
        <v>614</v>
      </c>
      <c r="C13" s="31"/>
      <c r="D13" s="30">
        <v>9.6199999999999992</v>
      </c>
      <c r="E13" s="33" t="s">
        <v>41</v>
      </c>
    </row>
    <row r="14" spans="2:7" x14ac:dyDescent="0.45">
      <c r="B14" s="40" t="s">
        <v>615</v>
      </c>
      <c r="C14" s="36">
        <v>15.7</v>
      </c>
      <c r="D14" s="35">
        <v>15.9</v>
      </c>
      <c r="E14" s="40" t="s">
        <v>41</v>
      </c>
    </row>
    <row r="15" spans="2:7" x14ac:dyDescent="0.45">
      <c r="B15" s="33" t="s">
        <v>616</v>
      </c>
      <c r="C15" s="31">
        <v>19.399999999999999</v>
      </c>
      <c r="D15" s="30">
        <v>19.600000000000001</v>
      </c>
      <c r="E15" s="33" t="s">
        <v>41</v>
      </c>
    </row>
    <row r="16" spans="2:7" x14ac:dyDescent="0.45">
      <c r="B16" s="40" t="s">
        <v>617</v>
      </c>
      <c r="C16" s="36">
        <v>23.5</v>
      </c>
      <c r="D16" s="35">
        <v>23.7</v>
      </c>
      <c r="E16" s="40" t="s">
        <v>41</v>
      </c>
    </row>
    <row r="17" spans="2:5" x14ac:dyDescent="0.45">
      <c r="B17" s="33" t="s">
        <v>618</v>
      </c>
      <c r="C17" s="31">
        <v>27.9</v>
      </c>
      <c r="D17" s="30">
        <v>28.3</v>
      </c>
      <c r="E17" s="33" t="s">
        <v>41</v>
      </c>
    </row>
    <row r="18" spans="2:5" x14ac:dyDescent="0.45">
      <c r="B18" s="40" t="s">
        <v>619</v>
      </c>
      <c r="C18" s="36">
        <v>32.700000000000003</v>
      </c>
      <c r="D18" s="35" t="s">
        <v>34</v>
      </c>
      <c r="E18" s="40" t="s">
        <v>41</v>
      </c>
    </row>
    <row r="19" spans="2:5" x14ac:dyDescent="0.45">
      <c r="B19" s="33" t="s">
        <v>620</v>
      </c>
      <c r="C19" s="31">
        <v>38</v>
      </c>
      <c r="D19" s="30" t="s">
        <v>34</v>
      </c>
      <c r="E19" s="33" t="s">
        <v>41</v>
      </c>
    </row>
    <row r="20" spans="2:5" x14ac:dyDescent="0.45">
      <c r="B20" s="40" t="s">
        <v>621</v>
      </c>
      <c r="C20" s="36">
        <v>49.6</v>
      </c>
      <c r="D20" s="35" t="s">
        <v>34</v>
      </c>
      <c r="E20" s="40" t="s">
        <v>41</v>
      </c>
    </row>
    <row r="21" spans="2:5" x14ac:dyDescent="0.45">
      <c r="B21" s="33" t="s">
        <v>622</v>
      </c>
      <c r="C21" s="31">
        <v>56</v>
      </c>
      <c r="D21" s="30" t="s">
        <v>34</v>
      </c>
      <c r="E21" s="33" t="s">
        <v>41</v>
      </c>
    </row>
    <row r="22" spans="2:5" x14ac:dyDescent="0.45">
      <c r="B22" s="40" t="s">
        <v>623</v>
      </c>
      <c r="C22" s="36" t="s">
        <v>34</v>
      </c>
      <c r="D22" s="35">
        <v>43.6</v>
      </c>
      <c r="E22" s="40" t="s">
        <v>41</v>
      </c>
    </row>
    <row r="23" spans="2:5" x14ac:dyDescent="0.45">
      <c r="B23" s="33" t="s">
        <v>624</v>
      </c>
      <c r="C23" s="31">
        <v>69.900000000000006</v>
      </c>
      <c r="D23" s="30" t="s">
        <v>34</v>
      </c>
      <c r="E23" s="33" t="s">
        <v>41</v>
      </c>
    </row>
    <row r="24" spans="2:5" x14ac:dyDescent="0.45">
      <c r="B24" s="40" t="s">
        <v>625</v>
      </c>
      <c r="C24" s="36">
        <v>77.5</v>
      </c>
      <c r="D24" s="35">
        <v>78.5</v>
      </c>
      <c r="E24" s="40" t="s">
        <v>41</v>
      </c>
    </row>
    <row r="25" spans="2:5" x14ac:dyDescent="0.45">
      <c r="B25" s="33" t="s">
        <v>626</v>
      </c>
      <c r="C25" s="31" t="s">
        <v>34</v>
      </c>
      <c r="D25" s="30">
        <v>95</v>
      </c>
      <c r="E25" s="33" t="s">
        <v>41</v>
      </c>
    </row>
    <row r="26" spans="2:5" x14ac:dyDescent="0.45">
      <c r="B26" s="40" t="s">
        <v>627</v>
      </c>
      <c r="C26" s="36" t="s">
        <v>34</v>
      </c>
      <c r="D26" s="35">
        <v>113</v>
      </c>
      <c r="E26" s="40" t="s">
        <v>41</v>
      </c>
    </row>
    <row r="27" spans="2:5" x14ac:dyDescent="0.45">
      <c r="B27" s="33" t="s">
        <v>628</v>
      </c>
      <c r="C27" s="31" t="s">
        <v>34</v>
      </c>
      <c r="D27" s="30">
        <v>133</v>
      </c>
      <c r="E27" s="33" t="s">
        <v>41</v>
      </c>
    </row>
    <row r="28" spans="2:5" x14ac:dyDescent="0.45">
      <c r="B28" s="40" t="s">
        <v>629</v>
      </c>
      <c r="C28" s="36">
        <v>153</v>
      </c>
      <c r="D28" s="35" t="s">
        <v>34</v>
      </c>
      <c r="E28" s="40" t="s">
        <v>41</v>
      </c>
    </row>
    <row r="29" spans="2:5" x14ac:dyDescent="0.45">
      <c r="B29" s="33" t="s">
        <v>630</v>
      </c>
      <c r="C29" s="31">
        <v>173</v>
      </c>
      <c r="D29" s="30" t="s">
        <v>34</v>
      </c>
      <c r="E29" s="33" t="s">
        <v>41</v>
      </c>
    </row>
    <row r="30" spans="2:5" x14ac:dyDescent="0.45">
      <c r="B30" s="40" t="s">
        <v>631</v>
      </c>
      <c r="C30" s="36">
        <v>200</v>
      </c>
      <c r="D30" s="35" t="s">
        <v>34</v>
      </c>
      <c r="E30" s="40" t="s">
        <v>41</v>
      </c>
    </row>
  </sheetData>
  <mergeCells count="1">
    <mergeCell ref="E9:E1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6:N78"/>
  <sheetViews>
    <sheetView workbookViewId="0">
      <selection activeCell="C12" sqref="C12:C13"/>
    </sheetView>
  </sheetViews>
  <sheetFormatPr baseColWidth="10" defaultColWidth="11.3984375" defaultRowHeight="14.25" x14ac:dyDescent="0.45"/>
  <cols>
    <col min="1" max="1" width="11.3984375" style="51"/>
    <col min="2" max="2" width="7.59765625" style="51" bestFit="1" customWidth="1"/>
    <col min="3" max="3" width="9.3984375" style="51" bestFit="1" customWidth="1"/>
    <col min="4" max="4" width="12.73046875" style="51" customWidth="1"/>
    <col min="5" max="5" width="9.1328125" style="51" bestFit="1" customWidth="1"/>
    <col min="6" max="6" width="35.1328125" style="51" bestFit="1" customWidth="1"/>
    <col min="7" max="8" width="32.265625" style="51" bestFit="1" customWidth="1"/>
    <col min="9" max="16384" width="11.3984375" style="51"/>
  </cols>
  <sheetData>
    <row r="6" spans="2:14" x14ac:dyDescent="0.45">
      <c r="M6" s="145"/>
      <c r="N6" s="145"/>
    </row>
    <row r="7" spans="2:14" x14ac:dyDescent="0.45">
      <c r="M7" s="145"/>
      <c r="N7" s="145"/>
    </row>
    <row r="8" spans="2:14" x14ac:dyDescent="0.45">
      <c r="M8" s="145"/>
      <c r="N8" s="145"/>
    </row>
    <row r="9" spans="2:14" x14ac:dyDescent="0.45">
      <c r="B9" s="149"/>
      <c r="C9" s="23"/>
      <c r="D9" s="149"/>
      <c r="E9" s="52"/>
      <c r="F9" s="170" t="s">
        <v>0</v>
      </c>
      <c r="G9" s="170" t="s">
        <v>632</v>
      </c>
      <c r="H9" s="174" t="s">
        <v>633</v>
      </c>
      <c r="M9" s="145"/>
      <c r="N9" s="145"/>
    </row>
    <row r="10" spans="2:14" x14ac:dyDescent="0.45">
      <c r="B10" s="57"/>
      <c r="C10" s="24"/>
      <c r="D10" s="121"/>
      <c r="E10" s="57"/>
      <c r="F10" s="171"/>
      <c r="G10" s="171"/>
      <c r="H10" s="175"/>
      <c r="M10" s="145"/>
      <c r="N10" s="145"/>
    </row>
    <row r="11" spans="2:14" ht="60" customHeight="1" x14ac:dyDescent="0.45">
      <c r="B11" s="177" t="s">
        <v>634</v>
      </c>
      <c r="C11" s="177"/>
      <c r="D11" s="152" t="s">
        <v>635</v>
      </c>
      <c r="E11" s="152" t="s">
        <v>636</v>
      </c>
      <c r="F11" s="169"/>
      <c r="G11" s="171"/>
      <c r="H11" s="175"/>
      <c r="M11" s="145"/>
      <c r="N11" s="145"/>
    </row>
    <row r="12" spans="2:14" x14ac:dyDescent="0.45">
      <c r="B12" s="178" t="s">
        <v>637</v>
      </c>
      <c r="C12" s="154" t="s">
        <v>2</v>
      </c>
      <c r="D12" s="154" t="s">
        <v>10</v>
      </c>
      <c r="E12" s="154" t="s">
        <v>8</v>
      </c>
      <c r="F12" s="172"/>
      <c r="G12" s="173"/>
      <c r="H12" s="176"/>
      <c r="M12" s="145"/>
      <c r="N12" s="145"/>
    </row>
    <row r="13" spans="2:14" x14ac:dyDescent="0.45">
      <c r="B13" s="178"/>
      <c r="C13" s="154" t="s">
        <v>31</v>
      </c>
      <c r="D13" s="154" t="s">
        <v>32</v>
      </c>
      <c r="E13" s="154" t="s">
        <v>638</v>
      </c>
      <c r="F13" s="94"/>
      <c r="G13" s="91"/>
      <c r="H13" s="91"/>
      <c r="M13" s="145"/>
      <c r="N13" s="145"/>
    </row>
    <row r="14" spans="2:14" x14ac:dyDescent="0.45">
      <c r="B14" s="40" t="s">
        <v>639</v>
      </c>
      <c r="C14" s="36">
        <v>0.61699999999999999</v>
      </c>
      <c r="D14" s="35">
        <v>10</v>
      </c>
      <c r="E14" s="35">
        <v>78.5</v>
      </c>
      <c r="F14" s="148" t="s">
        <v>41</v>
      </c>
      <c r="G14" s="148" t="s">
        <v>41</v>
      </c>
      <c r="H14" s="148" t="s">
        <v>41</v>
      </c>
      <c r="M14" s="145"/>
      <c r="N14" s="145"/>
    </row>
    <row r="15" spans="2:14" x14ac:dyDescent="0.45">
      <c r="B15" s="43" t="s">
        <v>640</v>
      </c>
      <c r="C15" s="31">
        <v>0.88800000000000001</v>
      </c>
      <c r="D15" s="30">
        <v>12</v>
      </c>
      <c r="E15" s="30">
        <v>112.99999999999999</v>
      </c>
      <c r="F15" s="147" t="s">
        <v>41</v>
      </c>
      <c r="G15" s="147" t="s">
        <v>41</v>
      </c>
      <c r="H15" s="147" t="s">
        <v>41</v>
      </c>
      <c r="M15" s="145"/>
      <c r="N15" s="145"/>
    </row>
    <row r="16" spans="2:14" x14ac:dyDescent="0.45">
      <c r="B16" s="40" t="s">
        <v>641</v>
      </c>
      <c r="C16" s="36">
        <v>1.21</v>
      </c>
      <c r="D16" s="35">
        <v>14</v>
      </c>
      <c r="E16" s="35">
        <v>154</v>
      </c>
      <c r="F16" s="148" t="s">
        <v>41</v>
      </c>
      <c r="G16" s="148" t="s">
        <v>41</v>
      </c>
      <c r="H16" s="148" t="s">
        <v>41</v>
      </c>
    </row>
    <row r="17" spans="2:8" x14ac:dyDescent="0.45">
      <c r="B17" s="43" t="s">
        <v>642</v>
      </c>
      <c r="C17" s="31">
        <v>1.58</v>
      </c>
      <c r="D17" s="30">
        <v>16</v>
      </c>
      <c r="E17" s="30">
        <v>200.99999999999997</v>
      </c>
      <c r="F17" s="147" t="s">
        <v>41</v>
      </c>
      <c r="G17" s="147" t="s">
        <v>41</v>
      </c>
      <c r="H17" s="147" t="s">
        <v>41</v>
      </c>
    </row>
    <row r="18" spans="2:8" x14ac:dyDescent="0.45">
      <c r="B18" s="40" t="s">
        <v>643</v>
      </c>
      <c r="C18" s="36">
        <v>2</v>
      </c>
      <c r="D18" s="35">
        <v>18</v>
      </c>
      <c r="E18" s="35">
        <v>254</v>
      </c>
      <c r="F18" s="148" t="s">
        <v>41</v>
      </c>
      <c r="G18" s="148" t="s">
        <v>41</v>
      </c>
      <c r="H18" s="148" t="s">
        <v>41</v>
      </c>
    </row>
    <row r="19" spans="2:8" x14ac:dyDescent="0.45">
      <c r="B19" s="43" t="s">
        <v>644</v>
      </c>
      <c r="C19" s="31">
        <v>2.4700000000000002</v>
      </c>
      <c r="D19" s="30">
        <v>20</v>
      </c>
      <c r="E19" s="30">
        <v>314</v>
      </c>
      <c r="F19" s="147" t="s">
        <v>41</v>
      </c>
      <c r="G19" s="147" t="s">
        <v>41</v>
      </c>
      <c r="H19" s="147" t="s">
        <v>41</v>
      </c>
    </row>
    <row r="20" spans="2:8" x14ac:dyDescent="0.45">
      <c r="B20" s="40" t="s">
        <v>645</v>
      </c>
      <c r="C20" s="36">
        <v>2.98</v>
      </c>
      <c r="D20" s="35">
        <v>22</v>
      </c>
      <c r="E20" s="35">
        <v>380</v>
      </c>
      <c r="F20" s="148" t="s">
        <v>41</v>
      </c>
      <c r="G20" s="148" t="s">
        <v>41</v>
      </c>
      <c r="H20" s="148" t="s">
        <v>41</v>
      </c>
    </row>
    <row r="21" spans="2:8" x14ac:dyDescent="0.45">
      <c r="B21" s="43" t="s">
        <v>646</v>
      </c>
      <c r="C21" s="31">
        <v>3.05</v>
      </c>
      <c r="D21" s="30">
        <v>22.25</v>
      </c>
      <c r="E21" s="30">
        <v>389</v>
      </c>
      <c r="F21" s="147" t="s">
        <v>41</v>
      </c>
      <c r="G21" s="147" t="s">
        <v>41</v>
      </c>
      <c r="H21" s="147" t="s">
        <v>41</v>
      </c>
    </row>
    <row r="22" spans="2:8" x14ac:dyDescent="0.45">
      <c r="B22" s="40" t="s">
        <v>647</v>
      </c>
      <c r="C22" s="36">
        <v>3.43</v>
      </c>
      <c r="D22" s="35">
        <v>23.6</v>
      </c>
      <c r="E22" s="35">
        <v>437</v>
      </c>
      <c r="F22" s="148" t="s">
        <v>41</v>
      </c>
      <c r="G22" s="148" t="s">
        <v>41</v>
      </c>
      <c r="H22" s="148" t="s">
        <v>41</v>
      </c>
    </row>
    <row r="23" spans="2:8" x14ac:dyDescent="0.45">
      <c r="B23" s="43" t="s">
        <v>648</v>
      </c>
      <c r="C23" s="31">
        <v>3.55</v>
      </c>
      <c r="D23" s="30">
        <v>24</v>
      </c>
      <c r="E23" s="30">
        <v>451.99999999999994</v>
      </c>
      <c r="F23" s="147" t="s">
        <v>41</v>
      </c>
      <c r="G23" s="147" t="s">
        <v>41</v>
      </c>
      <c r="H23" s="147" t="s">
        <v>41</v>
      </c>
    </row>
    <row r="24" spans="2:8" x14ac:dyDescent="0.45">
      <c r="B24" s="40" t="s">
        <v>649</v>
      </c>
      <c r="C24" s="36">
        <v>3.7</v>
      </c>
      <c r="D24" s="35">
        <v>24.5</v>
      </c>
      <c r="E24" s="35">
        <v>471</v>
      </c>
      <c r="F24" s="148" t="s">
        <v>41</v>
      </c>
      <c r="G24" s="148" t="s">
        <v>41</v>
      </c>
      <c r="H24" s="148" t="s">
        <v>41</v>
      </c>
    </row>
    <row r="25" spans="2:8" x14ac:dyDescent="0.45">
      <c r="B25" s="43" t="s">
        <v>650</v>
      </c>
      <c r="C25" s="31">
        <v>3.85</v>
      </c>
      <c r="D25" s="30">
        <v>25</v>
      </c>
      <c r="E25" s="30">
        <v>491</v>
      </c>
      <c r="F25" s="147" t="s">
        <v>41</v>
      </c>
      <c r="G25" s="147"/>
      <c r="H25" s="147"/>
    </row>
    <row r="26" spans="2:8" x14ac:dyDescent="0.45">
      <c r="B26" s="40" t="s">
        <v>651</v>
      </c>
      <c r="C26" s="36">
        <v>4.17</v>
      </c>
      <c r="D26" s="35">
        <v>26</v>
      </c>
      <c r="E26" s="35">
        <v>531</v>
      </c>
      <c r="F26" s="148" t="s">
        <v>41</v>
      </c>
      <c r="G26" s="148" t="s">
        <v>41</v>
      </c>
      <c r="H26" s="148" t="s">
        <v>41</v>
      </c>
    </row>
    <row r="27" spans="2:8" x14ac:dyDescent="0.45">
      <c r="B27" s="43" t="s">
        <v>652</v>
      </c>
      <c r="C27" s="31">
        <v>4.4000000000000004</v>
      </c>
      <c r="D27" s="30">
        <v>26.7</v>
      </c>
      <c r="E27" s="30">
        <v>560</v>
      </c>
      <c r="F27" s="147" t="s">
        <v>41</v>
      </c>
      <c r="G27" s="147" t="s">
        <v>41</v>
      </c>
      <c r="H27" s="147" t="s">
        <v>41</v>
      </c>
    </row>
    <row r="28" spans="2:8" x14ac:dyDescent="0.45">
      <c r="B28" s="40" t="s">
        <v>653</v>
      </c>
      <c r="C28" s="36">
        <v>4.49</v>
      </c>
      <c r="D28" s="35">
        <v>27</v>
      </c>
      <c r="E28" s="35">
        <v>573</v>
      </c>
      <c r="F28" s="148" t="s">
        <v>41</v>
      </c>
      <c r="G28" s="148" t="s">
        <v>41</v>
      </c>
      <c r="H28" s="148" t="s">
        <v>41</v>
      </c>
    </row>
    <row r="29" spans="2:8" x14ac:dyDescent="0.45">
      <c r="B29" s="43" t="s">
        <v>654</v>
      </c>
      <c r="C29" s="31">
        <v>4.83</v>
      </c>
      <c r="D29" s="30">
        <v>28</v>
      </c>
      <c r="E29" s="30">
        <v>616</v>
      </c>
      <c r="F29" s="147" t="s">
        <v>41</v>
      </c>
      <c r="G29" s="147" t="s">
        <v>41</v>
      </c>
      <c r="H29" s="147" t="s">
        <v>41</v>
      </c>
    </row>
    <row r="30" spans="2:8" x14ac:dyDescent="0.45">
      <c r="B30" s="40" t="s">
        <v>655</v>
      </c>
      <c r="C30" s="36">
        <v>5.19</v>
      </c>
      <c r="D30" s="35">
        <v>29</v>
      </c>
      <c r="E30" s="35">
        <v>661</v>
      </c>
      <c r="F30" s="148" t="s">
        <v>41</v>
      </c>
      <c r="G30" s="148" t="s">
        <v>41</v>
      </c>
      <c r="H30" s="148" t="s">
        <v>41</v>
      </c>
    </row>
    <row r="31" spans="2:8" x14ac:dyDescent="0.45">
      <c r="B31" s="43" t="s">
        <v>656</v>
      </c>
      <c r="C31" s="31">
        <v>5.37</v>
      </c>
      <c r="D31" s="30">
        <v>29.5</v>
      </c>
      <c r="E31" s="30">
        <v>683</v>
      </c>
      <c r="F31" s="147" t="s">
        <v>41</v>
      </c>
      <c r="G31" s="147" t="s">
        <v>41</v>
      </c>
      <c r="H31" s="147" t="s">
        <v>41</v>
      </c>
    </row>
    <row r="32" spans="2:8" x14ac:dyDescent="0.45">
      <c r="B32" s="40" t="s">
        <v>657</v>
      </c>
      <c r="C32" s="36">
        <v>5.44</v>
      </c>
      <c r="D32" s="35">
        <v>29.7</v>
      </c>
      <c r="E32" s="35">
        <v>693</v>
      </c>
      <c r="F32" s="148" t="s">
        <v>41</v>
      </c>
      <c r="G32" s="148" t="s">
        <v>41</v>
      </c>
      <c r="H32" s="148" t="s">
        <v>41</v>
      </c>
    </row>
    <row r="33" spans="2:8" x14ac:dyDescent="0.45">
      <c r="B33" s="43" t="s">
        <v>658</v>
      </c>
      <c r="C33" s="31">
        <v>5.55</v>
      </c>
      <c r="D33" s="30">
        <v>30</v>
      </c>
      <c r="E33" s="30">
        <v>707</v>
      </c>
      <c r="F33" s="147" t="s">
        <v>41</v>
      </c>
      <c r="G33" s="147" t="s">
        <v>41</v>
      </c>
      <c r="H33" s="147" t="s">
        <v>41</v>
      </c>
    </row>
    <row r="34" spans="2:8" x14ac:dyDescent="0.45">
      <c r="B34" s="40" t="s">
        <v>659</v>
      </c>
      <c r="C34" s="36">
        <v>5.92</v>
      </c>
      <c r="D34" s="35">
        <v>31</v>
      </c>
      <c r="E34" s="35">
        <v>755</v>
      </c>
      <c r="F34" s="148" t="s">
        <v>41</v>
      </c>
      <c r="G34" s="148" t="s">
        <v>41</v>
      </c>
      <c r="H34" s="148" t="s">
        <v>41</v>
      </c>
    </row>
    <row r="35" spans="2:8" x14ac:dyDescent="0.45">
      <c r="B35" s="43" t="s">
        <v>660</v>
      </c>
      <c r="C35" s="31">
        <v>6.31</v>
      </c>
      <c r="D35" s="30">
        <v>32</v>
      </c>
      <c r="E35" s="30">
        <v>803.99999999999989</v>
      </c>
      <c r="F35" s="147" t="s">
        <v>41</v>
      </c>
      <c r="G35" s="147" t="s">
        <v>41</v>
      </c>
      <c r="H35" s="147" t="s">
        <v>41</v>
      </c>
    </row>
    <row r="36" spans="2:8" x14ac:dyDescent="0.45">
      <c r="B36" s="40" t="s">
        <v>661</v>
      </c>
      <c r="C36" s="36">
        <v>7.13</v>
      </c>
      <c r="D36" s="35">
        <v>34</v>
      </c>
      <c r="E36" s="35">
        <v>908</v>
      </c>
      <c r="F36" s="148" t="s">
        <v>41</v>
      </c>
      <c r="G36" s="148" t="s">
        <v>41</v>
      </c>
      <c r="H36" s="148" t="s">
        <v>41</v>
      </c>
    </row>
    <row r="37" spans="2:8" x14ac:dyDescent="0.45">
      <c r="B37" s="43" t="s">
        <v>662</v>
      </c>
      <c r="C37" s="31">
        <v>7.3</v>
      </c>
      <c r="D37" s="30">
        <v>34.4</v>
      </c>
      <c r="E37" s="30">
        <v>928.99999999999989</v>
      </c>
      <c r="F37" s="147" t="s">
        <v>41</v>
      </c>
      <c r="G37" s="147" t="s">
        <v>41</v>
      </c>
      <c r="H37" s="147" t="s">
        <v>41</v>
      </c>
    </row>
    <row r="38" spans="2:8" x14ac:dyDescent="0.45">
      <c r="B38" s="40" t="s">
        <v>663</v>
      </c>
      <c r="C38" s="36">
        <v>7.55</v>
      </c>
      <c r="D38" s="35">
        <v>35</v>
      </c>
      <c r="E38" s="35">
        <v>961.99999999999989</v>
      </c>
      <c r="F38" s="148" t="s">
        <v>41</v>
      </c>
      <c r="G38" s="148" t="s">
        <v>41</v>
      </c>
      <c r="H38" s="148" t="s">
        <v>41</v>
      </c>
    </row>
    <row r="39" spans="2:8" x14ac:dyDescent="0.45">
      <c r="B39" s="43" t="s">
        <v>664</v>
      </c>
      <c r="C39" s="31">
        <v>7.86</v>
      </c>
      <c r="D39" s="30">
        <v>35.700000000000003</v>
      </c>
      <c r="E39" s="30">
        <v>1000</v>
      </c>
      <c r="F39" s="147" t="s">
        <v>41</v>
      </c>
      <c r="G39" s="147" t="s">
        <v>41</v>
      </c>
      <c r="H39" s="147" t="s">
        <v>41</v>
      </c>
    </row>
    <row r="40" spans="2:8" x14ac:dyDescent="0.45">
      <c r="B40" s="40" t="s">
        <v>665</v>
      </c>
      <c r="C40" s="36">
        <v>7.99</v>
      </c>
      <c r="D40" s="35">
        <v>36</v>
      </c>
      <c r="E40" s="35">
        <v>1019.9999999999999</v>
      </c>
      <c r="F40" s="148" t="s">
        <v>41</v>
      </c>
      <c r="G40" s="148" t="s">
        <v>41</v>
      </c>
      <c r="H40" s="148" t="s">
        <v>41</v>
      </c>
    </row>
    <row r="41" spans="2:8" x14ac:dyDescent="0.45">
      <c r="B41" s="43" t="s">
        <v>666</v>
      </c>
      <c r="C41" s="31">
        <v>8.44</v>
      </c>
      <c r="D41" s="30">
        <v>37</v>
      </c>
      <c r="E41" s="30">
        <v>1080</v>
      </c>
      <c r="F41" s="147" t="s">
        <v>41</v>
      </c>
      <c r="G41" s="147" t="s">
        <v>41</v>
      </c>
      <c r="H41" s="147" t="s">
        <v>41</v>
      </c>
    </row>
    <row r="42" spans="2:8" x14ac:dyDescent="0.45">
      <c r="B42" s="40" t="s">
        <v>667</v>
      </c>
      <c r="C42" s="36">
        <v>8.9</v>
      </c>
      <c r="D42" s="35">
        <v>38</v>
      </c>
      <c r="E42" s="35">
        <v>1130</v>
      </c>
      <c r="F42" s="148" t="s">
        <v>41</v>
      </c>
      <c r="G42" s="148" t="s">
        <v>41</v>
      </c>
      <c r="H42" s="148" t="s">
        <v>41</v>
      </c>
    </row>
    <row r="43" spans="2:8" x14ac:dyDescent="0.45">
      <c r="B43" s="43" t="s">
        <v>668</v>
      </c>
      <c r="C43" s="31">
        <v>9.3800000000000008</v>
      </c>
      <c r="D43" s="30">
        <v>39</v>
      </c>
      <c r="E43" s="30">
        <v>1190</v>
      </c>
      <c r="F43" s="147" t="s">
        <v>41</v>
      </c>
      <c r="G43" s="147" t="s">
        <v>41</v>
      </c>
      <c r="H43" s="147" t="s">
        <v>41</v>
      </c>
    </row>
    <row r="44" spans="2:8" x14ac:dyDescent="0.45">
      <c r="B44" s="40" t="s">
        <v>669</v>
      </c>
      <c r="C44" s="36">
        <v>9.4700000000000006</v>
      </c>
      <c r="D44" s="35">
        <v>39.200000000000003</v>
      </c>
      <c r="E44" s="35">
        <v>1210</v>
      </c>
      <c r="F44" s="148" t="s">
        <v>41</v>
      </c>
      <c r="G44" s="148" t="s">
        <v>41</v>
      </c>
      <c r="H44" s="148" t="s">
        <v>41</v>
      </c>
    </row>
    <row r="45" spans="2:8" x14ac:dyDescent="0.45">
      <c r="B45" s="44" t="s">
        <v>670</v>
      </c>
      <c r="C45" s="42">
        <v>9.86</v>
      </c>
      <c r="D45" s="41">
        <v>40</v>
      </c>
      <c r="E45" s="41">
        <v>1260</v>
      </c>
      <c r="F45" s="147" t="s">
        <v>41</v>
      </c>
      <c r="G45" s="147" t="s">
        <v>41</v>
      </c>
      <c r="H45" s="147" t="s">
        <v>41</v>
      </c>
    </row>
    <row r="46" spans="2:8" x14ac:dyDescent="0.45">
      <c r="B46" s="29" t="s">
        <v>671</v>
      </c>
      <c r="C46" s="27">
        <v>10.9</v>
      </c>
      <c r="D46" s="26">
        <v>42</v>
      </c>
      <c r="E46" s="26">
        <v>1390</v>
      </c>
      <c r="F46" s="148" t="s">
        <v>41</v>
      </c>
      <c r="G46" s="148" t="s">
        <v>41</v>
      </c>
      <c r="H46" s="148" t="s">
        <v>41</v>
      </c>
    </row>
    <row r="47" spans="2:8" x14ac:dyDescent="0.45">
      <c r="B47" s="43" t="s">
        <v>672</v>
      </c>
      <c r="C47" s="31">
        <v>11.9</v>
      </c>
      <c r="D47" s="30">
        <v>44</v>
      </c>
      <c r="E47" s="30">
        <v>1520</v>
      </c>
      <c r="F47" s="147" t="s">
        <v>41</v>
      </c>
      <c r="G47" s="147" t="s">
        <v>41</v>
      </c>
      <c r="H47" s="147" t="s">
        <v>41</v>
      </c>
    </row>
    <row r="48" spans="2:8" x14ac:dyDescent="0.45">
      <c r="B48" s="40" t="s">
        <v>673</v>
      </c>
      <c r="C48" s="36">
        <v>12.5</v>
      </c>
      <c r="D48" s="35">
        <v>45</v>
      </c>
      <c r="E48" s="35">
        <v>1590</v>
      </c>
      <c r="F48" s="148" t="s">
        <v>41</v>
      </c>
      <c r="G48" s="148" t="s">
        <v>41</v>
      </c>
      <c r="H48" s="148" t="s">
        <v>41</v>
      </c>
    </row>
    <row r="49" spans="2:8" x14ac:dyDescent="0.45">
      <c r="B49" s="43" t="s">
        <v>674</v>
      </c>
      <c r="C49" s="31">
        <v>13</v>
      </c>
      <c r="D49" s="30">
        <v>46</v>
      </c>
      <c r="E49" s="30">
        <v>1660.0000000000002</v>
      </c>
      <c r="F49" s="147" t="s">
        <v>41</v>
      </c>
      <c r="G49" s="147" t="s">
        <v>41</v>
      </c>
      <c r="H49" s="147" t="s">
        <v>41</v>
      </c>
    </row>
    <row r="50" spans="2:8" x14ac:dyDescent="0.45">
      <c r="B50" s="40" t="s">
        <v>675</v>
      </c>
      <c r="C50" s="36">
        <v>13.6</v>
      </c>
      <c r="D50" s="35">
        <v>47</v>
      </c>
      <c r="E50" s="35">
        <v>1730</v>
      </c>
      <c r="F50" s="148" t="s">
        <v>41</v>
      </c>
      <c r="G50" s="148" t="s">
        <v>41</v>
      </c>
      <c r="H50" s="148" t="s">
        <v>41</v>
      </c>
    </row>
    <row r="51" spans="2:8" x14ac:dyDescent="0.45">
      <c r="B51" s="43" t="s">
        <v>676</v>
      </c>
      <c r="C51" s="31">
        <v>14.2</v>
      </c>
      <c r="D51" s="30">
        <v>48</v>
      </c>
      <c r="E51" s="30">
        <v>1810.0000000000002</v>
      </c>
      <c r="F51" s="147" t="s">
        <v>41</v>
      </c>
      <c r="G51" s="147" t="s">
        <v>41</v>
      </c>
      <c r="H51" s="147" t="s">
        <v>41</v>
      </c>
    </row>
    <row r="52" spans="2:8" x14ac:dyDescent="0.45">
      <c r="B52" s="40" t="s">
        <v>677</v>
      </c>
      <c r="C52" s="36">
        <v>14.9</v>
      </c>
      <c r="D52" s="35">
        <v>49.2</v>
      </c>
      <c r="E52" s="35">
        <v>1900</v>
      </c>
      <c r="F52" s="148" t="s">
        <v>41</v>
      </c>
      <c r="G52" s="148" t="s">
        <v>41</v>
      </c>
      <c r="H52" s="148" t="s">
        <v>41</v>
      </c>
    </row>
    <row r="53" spans="2:8" x14ac:dyDescent="0.45">
      <c r="B53" s="43" t="s">
        <v>678</v>
      </c>
      <c r="C53" s="31">
        <v>15.4</v>
      </c>
      <c r="D53" s="30">
        <v>50</v>
      </c>
      <c r="E53" s="30">
        <v>1960.0000000000002</v>
      </c>
      <c r="F53" s="147" t="s">
        <v>41</v>
      </c>
      <c r="G53" s="147" t="s">
        <v>41</v>
      </c>
      <c r="H53" s="147" t="s">
        <v>41</v>
      </c>
    </row>
    <row r="54" spans="2:8" x14ac:dyDescent="0.45">
      <c r="B54" s="40" t="s">
        <v>679</v>
      </c>
      <c r="C54" s="36">
        <v>16</v>
      </c>
      <c r="D54" s="35">
        <v>51</v>
      </c>
      <c r="E54" s="35">
        <v>2039.9999999999998</v>
      </c>
      <c r="F54" s="148" t="s">
        <v>41</v>
      </c>
      <c r="G54" s="148" t="s">
        <v>41</v>
      </c>
      <c r="H54" s="148" t="s">
        <v>41</v>
      </c>
    </row>
    <row r="55" spans="2:8" x14ac:dyDescent="0.45">
      <c r="B55" s="43" t="s">
        <v>680</v>
      </c>
      <c r="C55" s="31">
        <v>16.7</v>
      </c>
      <c r="D55" s="30">
        <v>52</v>
      </c>
      <c r="E55" s="30">
        <v>2120</v>
      </c>
      <c r="F55" s="147" t="s">
        <v>41</v>
      </c>
      <c r="G55" s="147" t="s">
        <v>41</v>
      </c>
      <c r="H55" s="147" t="s">
        <v>41</v>
      </c>
    </row>
    <row r="56" spans="2:8" x14ac:dyDescent="0.45">
      <c r="B56" s="40" t="s">
        <v>681</v>
      </c>
      <c r="C56" s="36">
        <v>17.3</v>
      </c>
      <c r="D56" s="35">
        <v>53</v>
      </c>
      <c r="E56" s="35">
        <v>2210</v>
      </c>
      <c r="F56" s="148" t="s">
        <v>41</v>
      </c>
      <c r="G56" s="148" t="s">
        <v>41</v>
      </c>
      <c r="H56" s="148" t="s">
        <v>41</v>
      </c>
    </row>
    <row r="57" spans="2:8" x14ac:dyDescent="0.45">
      <c r="B57" s="43" t="s">
        <v>682</v>
      </c>
      <c r="C57" s="31">
        <v>18</v>
      </c>
      <c r="D57" s="30">
        <v>54</v>
      </c>
      <c r="E57" s="30">
        <v>2290</v>
      </c>
      <c r="F57" s="147" t="s">
        <v>41</v>
      </c>
      <c r="G57" s="147" t="s">
        <v>41</v>
      </c>
      <c r="H57" s="147" t="s">
        <v>41</v>
      </c>
    </row>
    <row r="58" spans="2:8" x14ac:dyDescent="0.45">
      <c r="B58" s="40" t="s">
        <v>683</v>
      </c>
      <c r="C58" s="36">
        <v>18.7</v>
      </c>
      <c r="D58" s="35">
        <v>55</v>
      </c>
      <c r="E58" s="35">
        <v>2380</v>
      </c>
      <c r="F58" s="148" t="s">
        <v>41</v>
      </c>
      <c r="G58" s="148" t="s">
        <v>41</v>
      </c>
      <c r="H58" s="148" t="s">
        <v>41</v>
      </c>
    </row>
    <row r="59" spans="2:8" x14ac:dyDescent="0.45">
      <c r="B59" s="43" t="s">
        <v>684</v>
      </c>
      <c r="C59" s="31">
        <v>19.2</v>
      </c>
      <c r="D59" s="30">
        <v>55.8</v>
      </c>
      <c r="E59" s="30">
        <v>2450</v>
      </c>
      <c r="F59" s="147" t="s">
        <v>41</v>
      </c>
      <c r="G59" s="147" t="s">
        <v>41</v>
      </c>
      <c r="H59" s="147" t="s">
        <v>41</v>
      </c>
    </row>
    <row r="60" spans="2:8" x14ac:dyDescent="0.45">
      <c r="B60" s="40" t="s">
        <v>685</v>
      </c>
      <c r="C60" s="36">
        <v>19.3</v>
      </c>
      <c r="D60" s="35">
        <v>56</v>
      </c>
      <c r="E60" s="35">
        <v>2460</v>
      </c>
      <c r="F60" s="148" t="s">
        <v>41</v>
      </c>
      <c r="G60" s="148" t="s">
        <v>41</v>
      </c>
      <c r="H60" s="148" t="s">
        <v>41</v>
      </c>
    </row>
    <row r="61" spans="2:8" x14ac:dyDescent="0.45">
      <c r="B61" s="43" t="s">
        <v>686</v>
      </c>
      <c r="C61" s="31">
        <v>20</v>
      </c>
      <c r="D61" s="30">
        <v>57</v>
      </c>
      <c r="E61" s="30">
        <v>2550</v>
      </c>
      <c r="F61" s="147" t="s">
        <v>41</v>
      </c>
      <c r="G61" s="147" t="s">
        <v>41</v>
      </c>
      <c r="H61" s="147" t="s">
        <v>41</v>
      </c>
    </row>
    <row r="62" spans="2:8" x14ac:dyDescent="0.45">
      <c r="B62" s="40" t="s">
        <v>687</v>
      </c>
      <c r="C62" s="36">
        <v>20.7</v>
      </c>
      <c r="D62" s="35">
        <v>58</v>
      </c>
      <c r="E62" s="35">
        <v>2640</v>
      </c>
      <c r="F62" s="148" t="s">
        <v>41</v>
      </c>
      <c r="G62" s="148" t="s">
        <v>41</v>
      </c>
      <c r="H62" s="148" t="s">
        <v>41</v>
      </c>
    </row>
    <row r="63" spans="2:8" x14ac:dyDescent="0.45">
      <c r="B63" s="43" t="s">
        <v>688</v>
      </c>
      <c r="C63" s="31">
        <v>21.5</v>
      </c>
      <c r="D63" s="30">
        <v>59</v>
      </c>
      <c r="E63" s="30">
        <v>2730</v>
      </c>
      <c r="F63" s="147" t="s">
        <v>41</v>
      </c>
      <c r="G63" s="147" t="s">
        <v>41</v>
      </c>
      <c r="H63" s="147" t="s">
        <v>41</v>
      </c>
    </row>
    <row r="64" spans="2:8" x14ac:dyDescent="0.45">
      <c r="B64" s="40" t="s">
        <v>689</v>
      </c>
      <c r="C64" s="36">
        <v>22.2</v>
      </c>
      <c r="D64" s="35">
        <v>60</v>
      </c>
      <c r="E64" s="35">
        <v>2830</v>
      </c>
      <c r="F64" s="148" t="s">
        <v>41</v>
      </c>
      <c r="G64" s="148" t="s">
        <v>41</v>
      </c>
      <c r="H64" s="148" t="s">
        <v>41</v>
      </c>
    </row>
    <row r="65" spans="2:8" x14ac:dyDescent="0.45">
      <c r="B65" s="43" t="s">
        <v>690</v>
      </c>
      <c r="C65" s="31">
        <v>23.7</v>
      </c>
      <c r="D65" s="30">
        <v>62</v>
      </c>
      <c r="E65" s="30">
        <v>3020</v>
      </c>
      <c r="F65" s="147" t="s">
        <v>41</v>
      </c>
      <c r="G65" s="147" t="s">
        <v>41</v>
      </c>
      <c r="H65" s="147" t="s">
        <v>41</v>
      </c>
    </row>
    <row r="66" spans="2:8" x14ac:dyDescent="0.45">
      <c r="B66" s="40" t="s">
        <v>691</v>
      </c>
      <c r="C66" s="36">
        <v>24.5</v>
      </c>
      <c r="D66" s="35">
        <v>63</v>
      </c>
      <c r="E66" s="35">
        <v>3120</v>
      </c>
      <c r="F66" s="148" t="s">
        <v>41</v>
      </c>
      <c r="G66" s="148" t="s">
        <v>41</v>
      </c>
      <c r="H66" s="148" t="s">
        <v>41</v>
      </c>
    </row>
    <row r="67" spans="2:8" x14ac:dyDescent="0.45">
      <c r="B67" s="43" t="s">
        <v>692</v>
      </c>
      <c r="C67" s="31">
        <v>26</v>
      </c>
      <c r="D67" s="30">
        <v>65</v>
      </c>
      <c r="E67" s="30">
        <v>3320.0000000000005</v>
      </c>
      <c r="F67" s="147" t="s">
        <v>41</v>
      </c>
      <c r="G67" s="147" t="s">
        <v>41</v>
      </c>
      <c r="H67" s="147"/>
    </row>
    <row r="68" spans="2:8" x14ac:dyDescent="0.45">
      <c r="B68" s="40" t="s">
        <v>693</v>
      </c>
      <c r="C68" s="36">
        <v>30.2</v>
      </c>
      <c r="D68" s="35">
        <v>70</v>
      </c>
      <c r="E68" s="35">
        <v>3850</v>
      </c>
      <c r="F68" s="148" t="s">
        <v>41</v>
      </c>
      <c r="G68" s="148" t="s">
        <v>41</v>
      </c>
      <c r="H68" s="148"/>
    </row>
    <row r="69" spans="2:8" x14ac:dyDescent="0.45">
      <c r="B69" s="43" t="s">
        <v>694</v>
      </c>
      <c r="C69" s="31">
        <v>34.700000000000003</v>
      </c>
      <c r="D69" s="30">
        <v>75</v>
      </c>
      <c r="E69" s="30">
        <v>4420</v>
      </c>
      <c r="F69" s="147" t="s">
        <v>41</v>
      </c>
      <c r="G69" s="147" t="s">
        <v>41</v>
      </c>
      <c r="H69" s="147"/>
    </row>
    <row r="70" spans="2:8" x14ac:dyDescent="0.45">
      <c r="B70" s="40" t="s">
        <v>695</v>
      </c>
      <c r="C70" s="36">
        <v>39.5</v>
      </c>
      <c r="D70" s="35">
        <v>80</v>
      </c>
      <c r="E70" s="35">
        <v>5030</v>
      </c>
      <c r="F70" s="148" t="s">
        <v>41</v>
      </c>
      <c r="G70" s="148" t="s">
        <v>41</v>
      </c>
      <c r="H70" s="148"/>
    </row>
    <row r="71" spans="2:8" x14ac:dyDescent="0.45">
      <c r="B71" s="43" t="s">
        <v>696</v>
      </c>
      <c r="C71" s="31">
        <v>44.5</v>
      </c>
      <c r="D71" s="30">
        <v>85</v>
      </c>
      <c r="E71" s="30">
        <v>5670</v>
      </c>
      <c r="F71" s="147" t="s">
        <v>41</v>
      </c>
      <c r="G71" s="147" t="s">
        <v>41</v>
      </c>
      <c r="H71" s="147"/>
    </row>
    <row r="72" spans="2:8" x14ac:dyDescent="0.45">
      <c r="B72" s="40" t="s">
        <v>697</v>
      </c>
      <c r="C72" s="36">
        <v>49.9</v>
      </c>
      <c r="D72" s="35">
        <v>90</v>
      </c>
      <c r="E72" s="35">
        <v>6360</v>
      </c>
      <c r="F72" s="148" t="s">
        <v>41</v>
      </c>
      <c r="G72" s="148" t="s">
        <v>41</v>
      </c>
      <c r="H72" s="148"/>
    </row>
    <row r="73" spans="2:8" x14ac:dyDescent="0.45">
      <c r="B73" s="43" t="s">
        <v>698</v>
      </c>
      <c r="C73" s="31">
        <v>55.6</v>
      </c>
      <c r="D73" s="30">
        <v>95</v>
      </c>
      <c r="E73" s="30">
        <v>7090.0000000000009</v>
      </c>
      <c r="F73" s="147" t="s">
        <v>41</v>
      </c>
      <c r="G73" s="147" t="s">
        <v>41</v>
      </c>
      <c r="H73" s="147"/>
    </row>
    <row r="74" spans="2:8" x14ac:dyDescent="0.45">
      <c r="B74" s="40" t="s">
        <v>699</v>
      </c>
      <c r="C74" s="36">
        <v>61.7</v>
      </c>
      <c r="D74" s="35">
        <v>100</v>
      </c>
      <c r="E74" s="35">
        <v>7850</v>
      </c>
      <c r="F74" s="148" t="s">
        <v>41</v>
      </c>
      <c r="G74" s="148" t="s">
        <v>41</v>
      </c>
      <c r="H74" s="148"/>
    </row>
    <row r="75" spans="2:8" x14ac:dyDescent="0.45">
      <c r="B75" s="43" t="s">
        <v>700</v>
      </c>
      <c r="C75" s="31">
        <v>68</v>
      </c>
      <c r="D75" s="30">
        <v>105</v>
      </c>
      <c r="E75" s="30">
        <v>8660</v>
      </c>
      <c r="F75" s="147" t="s">
        <v>41</v>
      </c>
      <c r="G75" s="147" t="s">
        <v>41</v>
      </c>
      <c r="H75" s="147"/>
    </row>
    <row r="76" spans="2:8" x14ac:dyDescent="0.45">
      <c r="B76" s="40" t="s">
        <v>701</v>
      </c>
      <c r="C76" s="36">
        <v>74.599999999999994</v>
      </c>
      <c r="D76" s="35">
        <v>110</v>
      </c>
      <c r="E76" s="35">
        <v>9500</v>
      </c>
      <c r="F76" s="148" t="s">
        <v>41</v>
      </c>
      <c r="G76" s="148" t="s">
        <v>41</v>
      </c>
      <c r="H76" s="148"/>
    </row>
    <row r="77" spans="2:8" x14ac:dyDescent="0.45">
      <c r="B77" s="43" t="s">
        <v>702</v>
      </c>
      <c r="C77" s="31">
        <v>88.8</v>
      </c>
      <c r="D77" s="30">
        <v>120</v>
      </c>
      <c r="E77" s="30">
        <v>11300</v>
      </c>
      <c r="F77" s="147" t="s">
        <v>41</v>
      </c>
      <c r="G77" s="147" t="s">
        <v>41</v>
      </c>
      <c r="H77" s="147"/>
    </row>
    <row r="78" spans="2:8" x14ac:dyDescent="0.45">
      <c r="B78" s="75" t="s">
        <v>703</v>
      </c>
      <c r="C78" s="76">
        <v>104</v>
      </c>
      <c r="D78" s="77">
        <v>130</v>
      </c>
      <c r="E78" s="77">
        <v>13300</v>
      </c>
      <c r="F78" s="148" t="s">
        <v>41</v>
      </c>
      <c r="G78" s="148"/>
      <c r="H78" s="148"/>
    </row>
  </sheetData>
  <mergeCells count="5">
    <mergeCell ref="F9:F12"/>
    <mergeCell ref="G9:G12"/>
    <mergeCell ref="H9:H12"/>
    <mergeCell ref="B11:C11"/>
    <mergeCell ref="B12:B1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9"/>
  <sheetViews>
    <sheetView zoomScale="85" zoomScaleNormal="85" workbookViewId="0">
      <selection sqref="A1:A1048576"/>
    </sheetView>
  </sheetViews>
  <sheetFormatPr baseColWidth="10" defaultColWidth="31.73046875" defaultRowHeight="14.25" x14ac:dyDescent="0.45"/>
  <cols>
    <col min="1" max="1" width="5.73046875" style="51" bestFit="1" customWidth="1"/>
    <col min="2" max="4" width="8.3984375" style="51" bestFit="1" customWidth="1"/>
    <col min="5" max="8" width="7.3984375" style="51" bestFit="1" customWidth="1"/>
    <col min="9" max="9" width="10.86328125" style="51" bestFit="1" customWidth="1"/>
    <col min="10" max="10" width="8.3984375" style="51" bestFit="1" customWidth="1"/>
    <col min="11" max="11" width="12.86328125" style="51" bestFit="1" customWidth="1"/>
    <col min="12" max="12" width="11.86328125" style="51" bestFit="1" customWidth="1"/>
    <col min="13" max="13" width="8.3984375" style="51" bestFit="1" customWidth="1"/>
    <col min="14" max="14" width="12.86328125" style="51" bestFit="1" customWidth="1"/>
    <col min="15" max="15" width="10.86328125" style="51" bestFit="1" customWidth="1"/>
    <col min="16" max="16" width="8.3984375" style="51" bestFit="1" customWidth="1"/>
    <col min="17" max="18" width="7.3984375" style="51" bestFit="1" customWidth="1"/>
    <col min="19" max="19" width="38" style="51" bestFit="1" customWidth="1"/>
    <col min="20" max="16384" width="31.73046875" style="51"/>
  </cols>
  <sheetData>
    <row r="1" spans="1:19" ht="28.5" x14ac:dyDescent="0.45">
      <c r="A1" s="179" t="s">
        <v>637</v>
      </c>
      <c r="B1" s="157" t="s">
        <v>704</v>
      </c>
      <c r="C1" s="157" t="s">
        <v>3</v>
      </c>
      <c r="D1" s="157" t="s">
        <v>4</v>
      </c>
      <c r="E1" s="157" t="s">
        <v>705</v>
      </c>
      <c r="F1" s="157" t="s">
        <v>7</v>
      </c>
      <c r="G1" s="157" t="s">
        <v>362</v>
      </c>
      <c r="H1" s="157" t="s">
        <v>363</v>
      </c>
      <c r="I1" s="157" t="s">
        <v>8</v>
      </c>
      <c r="J1" s="157" t="s">
        <v>10</v>
      </c>
      <c r="K1" s="157" t="s">
        <v>706</v>
      </c>
      <c r="L1" s="157" t="s">
        <v>707</v>
      </c>
      <c r="M1" s="157" t="s">
        <v>708</v>
      </c>
      <c r="N1" s="157" t="s">
        <v>709</v>
      </c>
      <c r="O1" s="157" t="s">
        <v>710</v>
      </c>
      <c r="P1" s="157" t="s">
        <v>565</v>
      </c>
      <c r="Q1" s="181" t="s">
        <v>28</v>
      </c>
      <c r="R1" s="181" t="s">
        <v>29</v>
      </c>
      <c r="S1" s="160"/>
    </row>
    <row r="2" spans="1:19" x14ac:dyDescent="0.45">
      <c r="A2" s="180"/>
      <c r="B2" s="157" t="s">
        <v>31</v>
      </c>
      <c r="C2" s="157" t="s">
        <v>32</v>
      </c>
      <c r="D2" s="157" t="s">
        <v>32</v>
      </c>
      <c r="E2" s="157" t="s">
        <v>32</v>
      </c>
      <c r="F2" s="157" t="s">
        <v>32</v>
      </c>
      <c r="G2" s="157" t="s">
        <v>32</v>
      </c>
      <c r="H2" s="157" t="s">
        <v>32</v>
      </c>
      <c r="I2" s="157" t="s">
        <v>638</v>
      </c>
      <c r="J2" s="157" t="s">
        <v>32</v>
      </c>
      <c r="K2" s="157" t="s">
        <v>37</v>
      </c>
      <c r="L2" s="157" t="s">
        <v>38</v>
      </c>
      <c r="M2" s="157" t="s">
        <v>32</v>
      </c>
      <c r="N2" s="157" t="s">
        <v>37</v>
      </c>
      <c r="O2" s="157" t="s">
        <v>38</v>
      </c>
      <c r="P2" s="157" t="s">
        <v>32</v>
      </c>
      <c r="Q2" s="182"/>
      <c r="R2" s="182"/>
      <c r="S2" s="94"/>
    </row>
    <row r="3" spans="1:19" x14ac:dyDescent="0.45">
      <c r="A3" s="29" t="s">
        <v>711</v>
      </c>
      <c r="B3" s="27">
        <v>1.77</v>
      </c>
      <c r="C3" s="26">
        <v>30</v>
      </c>
      <c r="D3" s="27">
        <v>30</v>
      </c>
      <c r="E3" s="27">
        <v>4</v>
      </c>
      <c r="F3" s="27">
        <v>4</v>
      </c>
      <c r="G3" s="27">
        <v>2</v>
      </c>
      <c r="H3" s="27">
        <v>1</v>
      </c>
      <c r="I3" s="26">
        <v>225.99999999999997</v>
      </c>
      <c r="J3" s="26">
        <v>8.5</v>
      </c>
      <c r="K3" s="26">
        <v>17200</v>
      </c>
      <c r="L3" s="27">
        <v>800</v>
      </c>
      <c r="M3" s="27">
        <v>8.6999999999999993</v>
      </c>
      <c r="N3" s="26">
        <v>8700</v>
      </c>
      <c r="O3" s="27">
        <v>580</v>
      </c>
      <c r="P3" s="27">
        <v>6.2</v>
      </c>
      <c r="Q3" s="26">
        <v>1</v>
      </c>
      <c r="R3" s="26">
        <v>1</v>
      </c>
      <c r="S3" s="29" t="s">
        <v>41</v>
      </c>
    </row>
    <row r="4" spans="1:19" x14ac:dyDescent="0.45">
      <c r="A4" s="43" t="s">
        <v>712</v>
      </c>
      <c r="B4" s="31">
        <v>2.33</v>
      </c>
      <c r="C4" s="30">
        <v>35</v>
      </c>
      <c r="D4" s="31">
        <v>35</v>
      </c>
      <c r="E4" s="31">
        <v>4.5</v>
      </c>
      <c r="F4" s="31">
        <v>4.5</v>
      </c>
      <c r="G4" s="31">
        <v>2.5</v>
      </c>
      <c r="H4" s="31">
        <v>1</v>
      </c>
      <c r="I4" s="30">
        <v>297</v>
      </c>
      <c r="J4" s="30">
        <v>9.9</v>
      </c>
      <c r="K4" s="30">
        <v>31000</v>
      </c>
      <c r="L4" s="31">
        <v>1230</v>
      </c>
      <c r="M4" s="31">
        <v>10.4</v>
      </c>
      <c r="N4" s="30">
        <v>15700</v>
      </c>
      <c r="O4" s="31">
        <v>900</v>
      </c>
      <c r="P4" s="31">
        <v>7.3</v>
      </c>
      <c r="Q4" s="30">
        <v>1</v>
      </c>
      <c r="R4" s="30">
        <v>1</v>
      </c>
      <c r="S4" s="107" t="s">
        <v>41</v>
      </c>
    </row>
    <row r="5" spans="1:19" x14ac:dyDescent="0.45">
      <c r="A5" s="40" t="s">
        <v>713</v>
      </c>
      <c r="B5" s="36">
        <v>2.96</v>
      </c>
      <c r="C5" s="35">
        <v>40</v>
      </c>
      <c r="D5" s="36">
        <v>40</v>
      </c>
      <c r="E5" s="36">
        <v>5</v>
      </c>
      <c r="F5" s="36">
        <v>5</v>
      </c>
      <c r="G5" s="36">
        <v>2.5</v>
      </c>
      <c r="H5" s="36">
        <v>1</v>
      </c>
      <c r="I5" s="35">
        <v>377</v>
      </c>
      <c r="J5" s="35">
        <v>11.200000000000001</v>
      </c>
      <c r="K5" s="35">
        <v>52800</v>
      </c>
      <c r="L5" s="36">
        <v>1840</v>
      </c>
      <c r="M5" s="36">
        <v>11.799999999999999</v>
      </c>
      <c r="N5" s="35">
        <v>25800</v>
      </c>
      <c r="O5" s="36">
        <v>1290</v>
      </c>
      <c r="P5" s="36">
        <v>8.2999999999999989</v>
      </c>
      <c r="Q5" s="35">
        <v>1</v>
      </c>
      <c r="R5" s="35">
        <v>1</v>
      </c>
      <c r="S5" s="108" t="s">
        <v>41</v>
      </c>
    </row>
    <row r="6" spans="1:19" x14ac:dyDescent="0.45">
      <c r="A6" s="43" t="s">
        <v>714</v>
      </c>
      <c r="B6" s="31">
        <v>4.4400000000000004</v>
      </c>
      <c r="C6" s="30">
        <v>50</v>
      </c>
      <c r="D6" s="31">
        <v>50</v>
      </c>
      <c r="E6" s="31">
        <v>6</v>
      </c>
      <c r="F6" s="31">
        <v>6</v>
      </c>
      <c r="G6" s="31">
        <v>3</v>
      </c>
      <c r="H6" s="31">
        <v>2</v>
      </c>
      <c r="I6" s="30">
        <v>566</v>
      </c>
      <c r="J6" s="30">
        <v>13.899999999999999</v>
      </c>
      <c r="K6" s="30">
        <v>121000</v>
      </c>
      <c r="L6" s="31">
        <v>3360</v>
      </c>
      <c r="M6" s="31">
        <v>14.6</v>
      </c>
      <c r="N6" s="30">
        <v>60599.999999999993</v>
      </c>
      <c r="O6" s="31">
        <v>2420</v>
      </c>
      <c r="P6" s="31">
        <v>10.3</v>
      </c>
      <c r="Q6" s="30">
        <v>1</v>
      </c>
      <c r="R6" s="30">
        <v>1</v>
      </c>
      <c r="S6" s="107" t="s">
        <v>41</v>
      </c>
    </row>
    <row r="7" spans="1:19" x14ac:dyDescent="0.45">
      <c r="A7" s="40" t="s">
        <v>715</v>
      </c>
      <c r="B7" s="36">
        <v>6.23</v>
      </c>
      <c r="C7" s="35">
        <v>60</v>
      </c>
      <c r="D7" s="36">
        <v>60</v>
      </c>
      <c r="E7" s="36">
        <v>7</v>
      </c>
      <c r="F7" s="36">
        <v>7</v>
      </c>
      <c r="G7" s="36">
        <v>3.5</v>
      </c>
      <c r="H7" s="36">
        <v>2</v>
      </c>
      <c r="I7" s="35">
        <v>794</v>
      </c>
      <c r="J7" s="35">
        <v>16.599999999999998</v>
      </c>
      <c r="K7" s="35">
        <v>238000</v>
      </c>
      <c r="L7" s="36">
        <v>5480</v>
      </c>
      <c r="M7" s="36">
        <v>17.3</v>
      </c>
      <c r="N7" s="35">
        <v>122000</v>
      </c>
      <c r="O7" s="36">
        <v>4070.0000000000005</v>
      </c>
      <c r="P7" s="36">
        <v>12.4</v>
      </c>
      <c r="Q7" s="35">
        <v>1</v>
      </c>
      <c r="R7" s="35">
        <v>1</v>
      </c>
      <c r="S7" s="108" t="s">
        <v>41</v>
      </c>
    </row>
    <row r="8" spans="1:19" x14ac:dyDescent="0.45">
      <c r="A8" s="43" t="s">
        <v>716</v>
      </c>
      <c r="B8" s="31">
        <v>8.32</v>
      </c>
      <c r="C8" s="30">
        <v>70</v>
      </c>
      <c r="D8" s="31">
        <v>70</v>
      </c>
      <c r="E8" s="31">
        <v>8</v>
      </c>
      <c r="F8" s="31">
        <v>8</v>
      </c>
      <c r="G8" s="31">
        <v>4</v>
      </c>
      <c r="H8" s="31">
        <v>2</v>
      </c>
      <c r="I8" s="30">
        <v>1060</v>
      </c>
      <c r="J8" s="30">
        <v>19.399999999999999</v>
      </c>
      <c r="K8" s="30">
        <v>445000</v>
      </c>
      <c r="L8" s="31">
        <v>8790</v>
      </c>
      <c r="M8" s="31">
        <v>20.5</v>
      </c>
      <c r="N8" s="30">
        <v>221000</v>
      </c>
      <c r="O8" s="31">
        <v>6320</v>
      </c>
      <c r="P8" s="31">
        <v>14.399999999999999</v>
      </c>
      <c r="Q8" s="30">
        <v>1</v>
      </c>
      <c r="R8" s="30">
        <v>1</v>
      </c>
      <c r="S8" s="107" t="s">
        <v>41</v>
      </c>
    </row>
    <row r="9" spans="1:19" x14ac:dyDescent="0.45">
      <c r="A9" s="75" t="s">
        <v>717</v>
      </c>
      <c r="B9" s="76">
        <v>10.7</v>
      </c>
      <c r="C9" s="77">
        <v>80</v>
      </c>
      <c r="D9" s="76">
        <v>80</v>
      </c>
      <c r="E9" s="76">
        <v>9</v>
      </c>
      <c r="F9" s="76">
        <v>9</v>
      </c>
      <c r="G9" s="76">
        <v>4.5</v>
      </c>
      <c r="H9" s="76">
        <v>2</v>
      </c>
      <c r="I9" s="77">
        <v>1360</v>
      </c>
      <c r="J9" s="77">
        <v>22.200000000000003</v>
      </c>
      <c r="K9" s="77">
        <v>737000</v>
      </c>
      <c r="L9" s="76">
        <v>12800</v>
      </c>
      <c r="M9" s="76">
        <v>23.3</v>
      </c>
      <c r="N9" s="77">
        <v>370000</v>
      </c>
      <c r="O9" s="76">
        <v>9250</v>
      </c>
      <c r="P9" s="76">
        <v>16.5</v>
      </c>
      <c r="Q9" s="77">
        <v>1</v>
      </c>
      <c r="R9" s="77">
        <v>1</v>
      </c>
      <c r="S9" s="110" t="s">
        <v>41</v>
      </c>
    </row>
  </sheetData>
  <mergeCells count="3">
    <mergeCell ref="A1:A2"/>
    <mergeCell ref="R1:R2"/>
    <mergeCell ref="Q1:Q2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A2" sqref="A2"/>
    </sheetView>
  </sheetViews>
  <sheetFormatPr baseColWidth="10" defaultColWidth="11.3984375" defaultRowHeight="14.25" x14ac:dyDescent="0.45"/>
  <sheetData>
    <row r="1" spans="1:1" x14ac:dyDescent="0.45">
      <c r="A1" t="s">
        <v>718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03"/>
  <sheetViews>
    <sheetView zoomScale="70" zoomScaleNormal="70" workbookViewId="0">
      <selection activeCell="H18" sqref="H18"/>
    </sheetView>
  </sheetViews>
  <sheetFormatPr baseColWidth="10" defaultColWidth="11.3984375" defaultRowHeight="14.25" x14ac:dyDescent="0.45"/>
  <cols>
    <col min="1" max="1" width="19.59765625" style="47" bestFit="1" customWidth="1"/>
    <col min="2" max="2" width="9.73046875" style="47" bestFit="1" customWidth="1"/>
    <col min="3" max="4" width="11" style="47" bestFit="1" customWidth="1"/>
    <col min="5" max="5" width="9.265625" style="47" bestFit="1" customWidth="1"/>
    <col min="6" max="6" width="13.3984375" style="47" bestFit="1" customWidth="1"/>
    <col min="7" max="7" width="18.73046875" style="47" bestFit="1" customWidth="1"/>
    <col min="8" max="9" width="16.265625" style="47" bestFit="1" customWidth="1"/>
    <col min="10" max="10" width="10.73046875" style="47" bestFit="1" customWidth="1"/>
    <col min="11" max="11" width="18.73046875" style="47" bestFit="1" customWidth="1"/>
    <col min="12" max="13" width="16.265625" style="47" bestFit="1" customWidth="1"/>
    <col min="14" max="14" width="10.73046875" style="47" bestFit="1" customWidth="1"/>
    <col min="15" max="15" width="19.1328125" style="47" bestFit="1" customWidth="1"/>
    <col min="16" max="16" width="9.1328125" style="47" bestFit="1" customWidth="1"/>
    <col min="17" max="16384" width="11.3984375" style="47"/>
  </cols>
  <sheetData>
    <row r="1" spans="1:15" x14ac:dyDescent="0.45">
      <c r="A1" s="99" t="s">
        <v>1</v>
      </c>
      <c r="B1" s="99" t="s">
        <v>2</v>
      </c>
      <c r="C1" s="99" t="s">
        <v>4</v>
      </c>
      <c r="D1" s="99" t="s">
        <v>3</v>
      </c>
      <c r="E1" s="99" t="s">
        <v>719</v>
      </c>
      <c r="F1" s="99" t="s">
        <v>8</v>
      </c>
      <c r="G1" s="99" t="s">
        <v>709</v>
      </c>
      <c r="H1" s="99" t="s">
        <v>720</v>
      </c>
      <c r="I1" s="99" t="s">
        <v>721</v>
      </c>
      <c r="J1" s="99" t="s">
        <v>722</v>
      </c>
      <c r="K1" s="99" t="s">
        <v>566</v>
      </c>
      <c r="L1" s="99" t="s">
        <v>723</v>
      </c>
      <c r="M1" s="99" t="s">
        <v>724</v>
      </c>
      <c r="N1" s="99" t="s">
        <v>725</v>
      </c>
      <c r="O1" s="99" t="s">
        <v>726</v>
      </c>
    </row>
    <row r="2" spans="1:15" x14ac:dyDescent="0.45">
      <c r="A2" s="98" t="s">
        <v>731</v>
      </c>
      <c r="B2" s="98" t="s">
        <v>727</v>
      </c>
      <c r="C2" s="98" t="s">
        <v>728</v>
      </c>
      <c r="D2" s="98" t="s">
        <v>32</v>
      </c>
      <c r="E2" s="98" t="s">
        <v>32</v>
      </c>
      <c r="F2" s="98" t="s">
        <v>33</v>
      </c>
      <c r="G2" s="98" t="s">
        <v>37</v>
      </c>
      <c r="H2" s="98" t="s">
        <v>38</v>
      </c>
      <c r="I2" s="98" t="s">
        <v>38</v>
      </c>
      <c r="J2" s="98" t="s">
        <v>32</v>
      </c>
      <c r="K2" s="98" t="s">
        <v>37</v>
      </c>
      <c r="L2" s="98" t="s">
        <v>38</v>
      </c>
      <c r="M2" s="98" t="s">
        <v>38</v>
      </c>
      <c r="N2" s="98" t="s">
        <v>32</v>
      </c>
      <c r="O2" s="98" t="s">
        <v>37</v>
      </c>
    </row>
    <row r="3" spans="1:15" x14ac:dyDescent="0.45">
      <c r="A3" s="95" t="str">
        <f>"SHS "&amp;C3&amp;"x"&amp;D3&amp;"x"&amp;E3</f>
        <v>SHS 20x20x1,5</v>
      </c>
      <c r="B3" s="95">
        <v>0.83</v>
      </c>
      <c r="C3" s="95">
        <v>20</v>
      </c>
      <c r="D3" s="95">
        <v>20</v>
      </c>
      <c r="E3" s="95">
        <v>1.5</v>
      </c>
      <c r="F3" s="95">
        <v>105</v>
      </c>
      <c r="G3" s="95">
        <v>5800</v>
      </c>
      <c r="H3" s="95">
        <v>580</v>
      </c>
      <c r="I3" s="95">
        <v>720</v>
      </c>
      <c r="J3" s="95">
        <f>SQRT(G3/F3)</f>
        <v>7.4322335295720654</v>
      </c>
      <c r="K3" s="95">
        <f>G3</f>
        <v>5800</v>
      </c>
      <c r="L3" s="95">
        <f t="shared" ref="L3:N18" si="0">H3</f>
        <v>580</v>
      </c>
      <c r="M3" s="95">
        <f t="shared" si="0"/>
        <v>720</v>
      </c>
      <c r="N3" s="95">
        <f t="shared" si="0"/>
        <v>7.4322335295720654</v>
      </c>
      <c r="O3" s="95">
        <v>9800</v>
      </c>
    </row>
    <row r="4" spans="1:15" x14ac:dyDescent="0.45">
      <c r="A4" s="96" t="str">
        <f t="shared" ref="A4:A67" si="1">"SHS "&amp;C4&amp;"x"&amp;D4&amp;"x"&amp;E4</f>
        <v>SHS 20x20x2</v>
      </c>
      <c r="B4" s="96">
        <v>1.05</v>
      </c>
      <c r="C4" s="96">
        <v>20</v>
      </c>
      <c r="D4" s="96">
        <v>20</v>
      </c>
      <c r="E4" s="96">
        <v>2</v>
      </c>
      <c r="F4" s="96">
        <v>134</v>
      </c>
      <c r="G4" s="96">
        <v>6900</v>
      </c>
      <c r="H4" s="96">
        <v>690</v>
      </c>
      <c r="I4" s="96">
        <v>880</v>
      </c>
      <c r="J4" s="96">
        <f t="shared" ref="J4:J67" si="2">SQRT(G4/F4)</f>
        <v>7.1758300783555926</v>
      </c>
      <c r="K4" s="96">
        <f t="shared" ref="K4:N30" si="3">G4</f>
        <v>6900</v>
      </c>
      <c r="L4" s="96">
        <f t="shared" si="0"/>
        <v>690</v>
      </c>
      <c r="M4" s="96">
        <f t="shared" si="0"/>
        <v>880</v>
      </c>
      <c r="N4" s="96">
        <f t="shared" si="0"/>
        <v>7.1758300783555926</v>
      </c>
      <c r="O4" s="96">
        <v>12100</v>
      </c>
    </row>
    <row r="5" spans="1:15" x14ac:dyDescent="0.45">
      <c r="A5" s="95" t="str">
        <f t="shared" si="1"/>
        <v>SHS 25x25x2</v>
      </c>
      <c r="B5" s="95">
        <v>1.36</v>
      </c>
      <c r="C5" s="95">
        <v>25</v>
      </c>
      <c r="D5" s="95">
        <v>25</v>
      </c>
      <c r="E5" s="95">
        <v>2</v>
      </c>
      <c r="F5" s="95">
        <v>174</v>
      </c>
      <c r="G5" s="95">
        <v>14800</v>
      </c>
      <c r="H5" s="95">
        <v>1190</v>
      </c>
      <c r="I5" s="95">
        <v>1470</v>
      </c>
      <c r="J5" s="95">
        <f t="shared" si="2"/>
        <v>9.2226607475482805</v>
      </c>
      <c r="K5" s="95">
        <f>G5</f>
        <v>14800</v>
      </c>
      <c r="L5" s="95">
        <f t="shared" si="0"/>
        <v>1190</v>
      </c>
      <c r="M5" s="95">
        <f t="shared" si="0"/>
        <v>1470</v>
      </c>
      <c r="N5" s="95">
        <f t="shared" si="0"/>
        <v>9.2226607475482805</v>
      </c>
      <c r="O5" s="95">
        <v>18000</v>
      </c>
    </row>
    <row r="6" spans="1:15" x14ac:dyDescent="0.45">
      <c r="A6" s="96" t="str">
        <f t="shared" si="1"/>
        <v>SHS 25x25x2,5</v>
      </c>
      <c r="B6" s="96">
        <v>1.64</v>
      </c>
      <c r="C6" s="96">
        <v>25</v>
      </c>
      <c r="D6" s="96">
        <v>25</v>
      </c>
      <c r="E6" s="96">
        <v>2.5</v>
      </c>
      <c r="F6" s="96">
        <v>209</v>
      </c>
      <c r="G6" s="96">
        <v>16900</v>
      </c>
      <c r="H6" s="96">
        <v>1350</v>
      </c>
      <c r="I6" s="96">
        <v>1710</v>
      </c>
      <c r="J6" s="96">
        <f t="shared" si="2"/>
        <v>8.9922880302589707</v>
      </c>
      <c r="K6" s="96">
        <f t="shared" si="3"/>
        <v>16900</v>
      </c>
      <c r="L6" s="96">
        <f t="shared" si="0"/>
        <v>1350</v>
      </c>
      <c r="M6" s="96">
        <f t="shared" si="0"/>
        <v>1710</v>
      </c>
      <c r="N6" s="96">
        <f t="shared" si="0"/>
        <v>8.9922880302589707</v>
      </c>
      <c r="O6" s="96">
        <v>20700</v>
      </c>
    </row>
    <row r="7" spans="1:15" x14ac:dyDescent="0.45">
      <c r="A7" s="95" t="str">
        <f t="shared" si="1"/>
        <v>SHS 25x25x3</v>
      </c>
      <c r="B7" s="95">
        <v>1.89</v>
      </c>
      <c r="C7" s="95">
        <v>25</v>
      </c>
      <c r="D7" s="95">
        <v>25</v>
      </c>
      <c r="E7" s="95">
        <v>3</v>
      </c>
      <c r="F7" s="95">
        <v>241</v>
      </c>
      <c r="G7" s="95">
        <v>18400</v>
      </c>
      <c r="H7" s="95">
        <v>1470</v>
      </c>
      <c r="I7" s="95">
        <v>1910</v>
      </c>
      <c r="J7" s="95">
        <f t="shared" si="2"/>
        <v>8.7377656021343544</v>
      </c>
      <c r="K7" s="95">
        <f t="shared" si="3"/>
        <v>18400</v>
      </c>
      <c r="L7" s="95">
        <f t="shared" si="0"/>
        <v>1470</v>
      </c>
      <c r="M7" s="95">
        <f t="shared" si="0"/>
        <v>1910</v>
      </c>
      <c r="N7" s="95">
        <f t="shared" si="0"/>
        <v>8.7377656021343544</v>
      </c>
      <c r="O7" s="95">
        <v>22700</v>
      </c>
    </row>
    <row r="8" spans="1:15" x14ac:dyDescent="0.45">
      <c r="A8" s="96" t="str">
        <f t="shared" si="1"/>
        <v>SHS 30x30x1,5</v>
      </c>
      <c r="B8" s="96">
        <v>1.3</v>
      </c>
      <c r="C8" s="96">
        <v>30</v>
      </c>
      <c r="D8" s="96">
        <f>C8</f>
        <v>30</v>
      </c>
      <c r="E8" s="96">
        <v>1.5</v>
      </c>
      <c r="F8" s="96">
        <v>165</v>
      </c>
      <c r="G8" s="96">
        <v>22000</v>
      </c>
      <c r="H8" s="96">
        <v>1460</v>
      </c>
      <c r="I8" s="96">
        <v>1740</v>
      </c>
      <c r="J8" s="96">
        <f t="shared" si="2"/>
        <v>11.547005383792516</v>
      </c>
      <c r="K8" s="96">
        <f t="shared" si="3"/>
        <v>22000</v>
      </c>
      <c r="L8" s="96">
        <f t="shared" si="0"/>
        <v>1460</v>
      </c>
      <c r="M8" s="96">
        <f t="shared" si="0"/>
        <v>1740</v>
      </c>
      <c r="N8" s="96">
        <f t="shared" si="0"/>
        <v>11.547005383792516</v>
      </c>
      <c r="O8" s="96">
        <v>35700</v>
      </c>
    </row>
    <row r="9" spans="1:15" x14ac:dyDescent="0.45">
      <c r="A9" s="95" t="str">
        <f t="shared" si="1"/>
        <v>SHS 30x30x2</v>
      </c>
      <c r="B9" s="95">
        <v>1.68</v>
      </c>
      <c r="C9" s="95">
        <v>30</v>
      </c>
      <c r="D9" s="95">
        <f t="shared" ref="D9:D30" si="4">C9</f>
        <v>30</v>
      </c>
      <c r="E9" s="95">
        <v>2</v>
      </c>
      <c r="F9" s="95">
        <v>214</v>
      </c>
      <c r="G9" s="95">
        <v>27200</v>
      </c>
      <c r="H9" s="95">
        <v>1810</v>
      </c>
      <c r="I9" s="95">
        <v>2210</v>
      </c>
      <c r="J9" s="95">
        <f t="shared" si="2"/>
        <v>11.273987925233811</v>
      </c>
      <c r="K9" s="95">
        <f t="shared" si="3"/>
        <v>27200</v>
      </c>
      <c r="L9" s="95">
        <f t="shared" si="0"/>
        <v>1810</v>
      </c>
      <c r="M9" s="95">
        <f t="shared" si="0"/>
        <v>2210</v>
      </c>
      <c r="N9" s="95">
        <f t="shared" si="0"/>
        <v>11.273987925233811</v>
      </c>
      <c r="O9" s="95">
        <v>45400</v>
      </c>
    </row>
    <row r="10" spans="1:15" x14ac:dyDescent="0.45">
      <c r="A10" s="96" t="str">
        <f t="shared" si="1"/>
        <v>SHS 30x30x2,5</v>
      </c>
      <c r="B10" s="96">
        <v>2.0299999999999998</v>
      </c>
      <c r="C10" s="96">
        <v>30</v>
      </c>
      <c r="D10" s="96">
        <f t="shared" si="4"/>
        <v>30</v>
      </c>
      <c r="E10" s="96">
        <v>2.5</v>
      </c>
      <c r="F10" s="96">
        <v>259</v>
      </c>
      <c r="G10" s="96">
        <v>31600</v>
      </c>
      <c r="H10" s="96">
        <v>2100</v>
      </c>
      <c r="I10" s="96">
        <v>2610</v>
      </c>
      <c r="J10" s="96">
        <f t="shared" si="2"/>
        <v>11.04571057052112</v>
      </c>
      <c r="K10" s="96">
        <f t="shared" si="3"/>
        <v>31600</v>
      </c>
      <c r="L10" s="96">
        <f t="shared" si="0"/>
        <v>2100</v>
      </c>
      <c r="M10" s="96">
        <f t="shared" si="0"/>
        <v>2610</v>
      </c>
      <c r="N10" s="96">
        <f t="shared" si="0"/>
        <v>11.04571057052112</v>
      </c>
      <c r="O10" s="96">
        <v>5400</v>
      </c>
    </row>
    <row r="11" spans="1:15" x14ac:dyDescent="0.45">
      <c r="A11" s="95" t="str">
        <f t="shared" si="1"/>
        <v>SHS 30x30x3</v>
      </c>
      <c r="B11" s="95">
        <v>2.36</v>
      </c>
      <c r="C11" s="95">
        <v>30</v>
      </c>
      <c r="D11" s="95">
        <f t="shared" si="4"/>
        <v>30</v>
      </c>
      <c r="E11" s="95">
        <v>3</v>
      </c>
      <c r="F11" s="95">
        <v>301</v>
      </c>
      <c r="G11" s="95">
        <v>35000</v>
      </c>
      <c r="H11" s="95">
        <v>2340</v>
      </c>
      <c r="I11" s="95">
        <v>2960</v>
      </c>
      <c r="J11" s="95">
        <f t="shared" si="2"/>
        <v>10.783277320343842</v>
      </c>
      <c r="K11" s="95">
        <f t="shared" si="3"/>
        <v>35000</v>
      </c>
      <c r="L11" s="95">
        <f t="shared" si="0"/>
        <v>2340</v>
      </c>
      <c r="M11" s="95">
        <f t="shared" si="0"/>
        <v>2960</v>
      </c>
      <c r="N11" s="95">
        <f t="shared" si="0"/>
        <v>10.783277320343842</v>
      </c>
      <c r="O11" s="95">
        <v>61500</v>
      </c>
    </row>
    <row r="12" spans="1:15" x14ac:dyDescent="0.45">
      <c r="A12" s="96" t="str">
        <f t="shared" si="1"/>
        <v>SHS 35x35x2</v>
      </c>
      <c r="B12" s="96">
        <v>1.99</v>
      </c>
      <c r="C12" s="96">
        <v>35</v>
      </c>
      <c r="D12" s="96">
        <f t="shared" si="4"/>
        <v>35</v>
      </c>
      <c r="E12" s="96">
        <v>2</v>
      </c>
      <c r="F12" s="96">
        <v>254</v>
      </c>
      <c r="G12" s="96">
        <v>45100</v>
      </c>
      <c r="H12" s="96">
        <v>2580</v>
      </c>
      <c r="I12" s="96">
        <v>3090</v>
      </c>
      <c r="J12" s="96">
        <f t="shared" si="2"/>
        <v>13.325128709251187</v>
      </c>
      <c r="K12" s="96">
        <f t="shared" si="3"/>
        <v>45100</v>
      </c>
      <c r="L12" s="96">
        <f t="shared" si="0"/>
        <v>2580</v>
      </c>
      <c r="M12" s="96">
        <f t="shared" si="0"/>
        <v>3090</v>
      </c>
      <c r="N12" s="96">
        <f t="shared" si="0"/>
        <v>13.325128709251187</v>
      </c>
      <c r="O12" s="96">
        <v>74100</v>
      </c>
    </row>
    <row r="13" spans="1:15" x14ac:dyDescent="0.45">
      <c r="A13" s="95" t="str">
        <f t="shared" si="1"/>
        <v>SHS 35x35x2,5</v>
      </c>
      <c r="B13" s="95">
        <v>2.42</v>
      </c>
      <c r="C13" s="95">
        <v>35</v>
      </c>
      <c r="D13" s="95">
        <f t="shared" si="4"/>
        <v>35</v>
      </c>
      <c r="E13" s="95">
        <v>2.5</v>
      </c>
      <c r="F13" s="95">
        <v>309</v>
      </c>
      <c r="G13" s="95">
        <v>52900</v>
      </c>
      <c r="H13" s="95">
        <v>3020</v>
      </c>
      <c r="I13" s="95">
        <v>3690</v>
      </c>
      <c r="J13" s="95">
        <f t="shared" si="2"/>
        <v>13.084242851737208</v>
      </c>
      <c r="K13" s="95">
        <f t="shared" si="3"/>
        <v>52900</v>
      </c>
      <c r="L13" s="95">
        <f t="shared" si="0"/>
        <v>3020</v>
      </c>
      <c r="M13" s="95">
        <f t="shared" si="0"/>
        <v>3690</v>
      </c>
      <c r="N13" s="95">
        <f t="shared" si="0"/>
        <v>13.084242851737208</v>
      </c>
      <c r="O13" s="95">
        <v>88900</v>
      </c>
    </row>
    <row r="14" spans="1:15" x14ac:dyDescent="0.45">
      <c r="A14" s="96" t="str">
        <f t="shared" si="1"/>
        <v>SHS 35x35x3</v>
      </c>
      <c r="B14" s="96">
        <v>2.83</v>
      </c>
      <c r="C14" s="96">
        <v>35</v>
      </c>
      <c r="D14" s="96">
        <f t="shared" si="4"/>
        <v>35</v>
      </c>
      <c r="E14" s="96">
        <v>3</v>
      </c>
      <c r="F14" s="96">
        <v>361</v>
      </c>
      <c r="G14" s="96">
        <v>59500</v>
      </c>
      <c r="H14" s="96">
        <v>3400</v>
      </c>
      <c r="I14" s="96">
        <v>4230</v>
      </c>
      <c r="J14" s="96">
        <f t="shared" si="2"/>
        <v>12.83822201857944</v>
      </c>
      <c r="K14" s="96">
        <f t="shared" si="3"/>
        <v>59500</v>
      </c>
      <c r="L14" s="96">
        <f t="shared" si="0"/>
        <v>3400</v>
      </c>
      <c r="M14" s="96">
        <f t="shared" si="0"/>
        <v>4230</v>
      </c>
      <c r="N14" s="96">
        <f t="shared" si="0"/>
        <v>12.83822201857944</v>
      </c>
      <c r="O14" s="96">
        <v>102000</v>
      </c>
    </row>
    <row r="15" spans="1:15" x14ac:dyDescent="0.45">
      <c r="A15" s="95" t="str">
        <f t="shared" si="1"/>
        <v>SHS 40x40x2</v>
      </c>
      <c r="B15" s="95">
        <v>2.31</v>
      </c>
      <c r="C15" s="95">
        <v>40</v>
      </c>
      <c r="D15" s="95">
        <f t="shared" si="4"/>
        <v>40</v>
      </c>
      <c r="E15" s="95">
        <v>2</v>
      </c>
      <c r="F15" s="95">
        <v>294</v>
      </c>
      <c r="G15" s="95">
        <v>69400</v>
      </c>
      <c r="H15" s="95">
        <v>3470</v>
      </c>
      <c r="I15" s="95">
        <v>4130</v>
      </c>
      <c r="J15" s="95">
        <f t="shared" si="2"/>
        <v>15.364062671334931</v>
      </c>
      <c r="K15" s="95">
        <f t="shared" si="3"/>
        <v>69400</v>
      </c>
      <c r="L15" s="95">
        <f t="shared" si="0"/>
        <v>3470</v>
      </c>
      <c r="M15" s="95">
        <f t="shared" si="0"/>
        <v>4130</v>
      </c>
      <c r="N15" s="95">
        <f t="shared" si="0"/>
        <v>15.364062671334931</v>
      </c>
      <c r="O15" s="95">
        <v>112800</v>
      </c>
    </row>
    <row r="16" spans="1:15" x14ac:dyDescent="0.45">
      <c r="A16" s="96" t="str">
        <f t="shared" si="1"/>
        <v>SHS 40x40x2,5</v>
      </c>
      <c r="B16" s="96">
        <v>2.82</v>
      </c>
      <c r="C16" s="96">
        <v>40</v>
      </c>
      <c r="D16" s="96">
        <f t="shared" si="4"/>
        <v>40</v>
      </c>
      <c r="E16" s="96">
        <v>2.5</v>
      </c>
      <c r="F16" s="96">
        <v>359</v>
      </c>
      <c r="G16" s="96">
        <v>82100</v>
      </c>
      <c r="H16" s="96">
        <v>4110</v>
      </c>
      <c r="I16" s="96">
        <v>4970</v>
      </c>
      <c r="J16" s="96">
        <f t="shared" si="2"/>
        <v>15.122526501859499</v>
      </c>
      <c r="K16" s="96">
        <f t="shared" si="3"/>
        <v>82100</v>
      </c>
      <c r="L16" s="96">
        <f t="shared" si="0"/>
        <v>4110</v>
      </c>
      <c r="M16" s="96">
        <f t="shared" si="0"/>
        <v>4970</v>
      </c>
      <c r="N16" s="96">
        <f t="shared" si="0"/>
        <v>15.122526501859499</v>
      </c>
      <c r="O16" s="96">
        <v>136100</v>
      </c>
    </row>
    <row r="17" spans="1:15" x14ac:dyDescent="0.45">
      <c r="A17" s="95" t="str">
        <f t="shared" si="1"/>
        <v>SHS 40x40x3</v>
      </c>
      <c r="B17" s="95">
        <v>3.3</v>
      </c>
      <c r="C17" s="95">
        <v>40</v>
      </c>
      <c r="D17" s="95">
        <f t="shared" si="4"/>
        <v>40</v>
      </c>
      <c r="E17" s="95">
        <v>3</v>
      </c>
      <c r="F17" s="95">
        <v>421</v>
      </c>
      <c r="G17" s="95">
        <v>93200</v>
      </c>
      <c r="H17" s="95">
        <v>4660</v>
      </c>
      <c r="I17" s="95">
        <v>5720</v>
      </c>
      <c r="J17" s="95">
        <f t="shared" si="2"/>
        <v>14.878765816055649</v>
      </c>
      <c r="K17" s="95">
        <f t="shared" si="3"/>
        <v>93200</v>
      </c>
      <c r="L17" s="95">
        <f t="shared" si="0"/>
        <v>4660</v>
      </c>
      <c r="M17" s="95">
        <f t="shared" si="0"/>
        <v>5720</v>
      </c>
      <c r="N17" s="95">
        <f t="shared" si="0"/>
        <v>14.878765816055649</v>
      </c>
      <c r="O17" s="95">
        <v>157500</v>
      </c>
    </row>
    <row r="18" spans="1:15" x14ac:dyDescent="0.45">
      <c r="A18" s="96" t="str">
        <f t="shared" si="1"/>
        <v>SHS 40x40x4</v>
      </c>
      <c r="B18" s="96">
        <v>4.2</v>
      </c>
      <c r="C18" s="96">
        <v>40</v>
      </c>
      <c r="D18" s="96">
        <f t="shared" si="4"/>
        <v>40</v>
      </c>
      <c r="E18" s="96">
        <v>4</v>
      </c>
      <c r="F18" s="96">
        <v>535</v>
      </c>
      <c r="G18" s="96">
        <v>110800</v>
      </c>
      <c r="H18" s="96">
        <v>5540</v>
      </c>
      <c r="I18" s="96">
        <v>7010</v>
      </c>
      <c r="J18" s="96">
        <f t="shared" si="2"/>
        <v>14.39106680334428</v>
      </c>
      <c r="K18" s="96">
        <f t="shared" si="3"/>
        <v>110800</v>
      </c>
      <c r="L18" s="96">
        <f t="shared" si="0"/>
        <v>5540</v>
      </c>
      <c r="M18" s="96">
        <f t="shared" si="0"/>
        <v>7010</v>
      </c>
      <c r="N18" s="96">
        <f t="shared" si="0"/>
        <v>14.39106680334428</v>
      </c>
      <c r="O18" s="96">
        <v>194400</v>
      </c>
    </row>
    <row r="19" spans="1:15" x14ac:dyDescent="0.45">
      <c r="A19" s="95" t="str">
        <f t="shared" si="1"/>
        <v>SHS 40x40x5</v>
      </c>
      <c r="B19" s="95">
        <v>4.99</v>
      </c>
      <c r="C19" s="95">
        <v>40</v>
      </c>
      <c r="D19" s="95">
        <f t="shared" si="4"/>
        <v>40</v>
      </c>
      <c r="E19" s="95">
        <v>5</v>
      </c>
      <c r="F19" s="95">
        <v>636</v>
      </c>
      <c r="G19" s="95">
        <v>123000</v>
      </c>
      <c r="H19" s="95">
        <v>6130</v>
      </c>
      <c r="I19" s="95">
        <v>8020</v>
      </c>
      <c r="J19" s="95">
        <f t="shared" si="2"/>
        <v>13.906697178521373</v>
      </c>
      <c r="K19" s="95">
        <f t="shared" si="3"/>
        <v>123000</v>
      </c>
      <c r="L19" s="95">
        <f t="shared" si="3"/>
        <v>6130</v>
      </c>
      <c r="M19" s="95">
        <f t="shared" si="3"/>
        <v>8020</v>
      </c>
      <c r="N19" s="95">
        <f t="shared" si="3"/>
        <v>13.906697178521373</v>
      </c>
      <c r="O19" s="95">
        <v>223000</v>
      </c>
    </row>
    <row r="20" spans="1:15" x14ac:dyDescent="0.45">
      <c r="A20" s="96" t="str">
        <f t="shared" si="1"/>
        <v>SHS 45x45x2</v>
      </c>
      <c r="B20" s="96">
        <v>2.62</v>
      </c>
      <c r="C20" s="96">
        <v>45</v>
      </c>
      <c r="D20" s="96">
        <f t="shared" si="4"/>
        <v>45</v>
      </c>
      <c r="E20" s="96">
        <v>2</v>
      </c>
      <c r="F20" s="96">
        <v>334</v>
      </c>
      <c r="G20" s="96">
        <v>101000</v>
      </c>
      <c r="H20" s="96">
        <v>4500</v>
      </c>
      <c r="I20" s="96">
        <v>5320</v>
      </c>
      <c r="J20" s="96">
        <f t="shared" si="2"/>
        <v>17.38951435724524</v>
      </c>
      <c r="K20" s="96">
        <f t="shared" si="3"/>
        <v>101000</v>
      </c>
      <c r="L20" s="96">
        <f t="shared" si="3"/>
        <v>4500</v>
      </c>
      <c r="M20" s="96">
        <f t="shared" si="3"/>
        <v>5320</v>
      </c>
      <c r="N20" s="96">
        <f t="shared" si="3"/>
        <v>17.38951435724524</v>
      </c>
      <c r="O20" s="96">
        <v>163000</v>
      </c>
    </row>
    <row r="21" spans="1:15" x14ac:dyDescent="0.45">
      <c r="A21" s="95" t="str">
        <f t="shared" si="1"/>
        <v>SHS 45x45x2,5</v>
      </c>
      <c r="B21" s="95">
        <v>3.21</v>
      </c>
      <c r="C21" s="95">
        <v>45</v>
      </c>
      <c r="D21" s="95">
        <f t="shared" si="4"/>
        <v>45</v>
      </c>
      <c r="E21" s="95">
        <v>2.5</v>
      </c>
      <c r="F21" s="95">
        <v>409</v>
      </c>
      <c r="G21" s="95">
        <v>121000</v>
      </c>
      <c r="H21" s="95">
        <v>5360</v>
      </c>
      <c r="I21" s="95">
        <v>6430</v>
      </c>
      <c r="J21" s="95">
        <f t="shared" si="2"/>
        <v>17.200102348020959</v>
      </c>
      <c r="K21" s="95">
        <f t="shared" si="3"/>
        <v>121000</v>
      </c>
      <c r="L21" s="95">
        <f t="shared" si="3"/>
        <v>5360</v>
      </c>
      <c r="M21" s="95">
        <f t="shared" si="3"/>
        <v>6430</v>
      </c>
      <c r="N21" s="95">
        <f t="shared" si="3"/>
        <v>17.200102348020959</v>
      </c>
      <c r="O21" s="95">
        <v>198000</v>
      </c>
    </row>
    <row r="22" spans="1:15" x14ac:dyDescent="0.45">
      <c r="A22" s="96" t="str">
        <f t="shared" si="1"/>
        <v>SHS 45x45x3</v>
      </c>
      <c r="B22" s="96">
        <v>3.77</v>
      </c>
      <c r="C22" s="96">
        <v>45</v>
      </c>
      <c r="D22" s="96">
        <f t="shared" si="4"/>
        <v>45</v>
      </c>
      <c r="E22" s="96">
        <v>3</v>
      </c>
      <c r="F22" s="96">
        <v>481</v>
      </c>
      <c r="G22" s="96">
        <v>138000</v>
      </c>
      <c r="H22" s="96">
        <v>6120</v>
      </c>
      <c r="I22" s="96">
        <v>7440</v>
      </c>
      <c r="J22" s="96">
        <f t="shared" si="2"/>
        <v>16.938190189695206</v>
      </c>
      <c r="K22" s="96">
        <f t="shared" si="3"/>
        <v>138000</v>
      </c>
      <c r="L22" s="96">
        <f t="shared" si="3"/>
        <v>6120</v>
      </c>
      <c r="M22" s="96">
        <f t="shared" si="3"/>
        <v>7440</v>
      </c>
      <c r="N22" s="96">
        <f t="shared" si="3"/>
        <v>16.938190189695206</v>
      </c>
      <c r="O22" s="96">
        <v>230000</v>
      </c>
    </row>
    <row r="23" spans="1:15" x14ac:dyDescent="0.45">
      <c r="A23" s="95" t="str">
        <f t="shared" si="1"/>
        <v>SHS 45x45x4</v>
      </c>
      <c r="B23" s="95">
        <v>4.83</v>
      </c>
      <c r="C23" s="95">
        <v>45</v>
      </c>
      <c r="D23" s="95">
        <f t="shared" si="4"/>
        <v>45</v>
      </c>
      <c r="E23" s="95">
        <v>4</v>
      </c>
      <c r="F23" s="95">
        <v>615</v>
      </c>
      <c r="G23" s="95">
        <v>166000</v>
      </c>
      <c r="H23" s="95">
        <v>7380</v>
      </c>
      <c r="I23" s="95">
        <v>9220</v>
      </c>
      <c r="J23" s="95">
        <f t="shared" si="2"/>
        <v>16.429202633937894</v>
      </c>
      <c r="K23" s="95">
        <f t="shared" si="3"/>
        <v>166000</v>
      </c>
      <c r="L23" s="95">
        <f t="shared" si="3"/>
        <v>7380</v>
      </c>
      <c r="M23" s="95">
        <f t="shared" si="3"/>
        <v>9220</v>
      </c>
      <c r="N23" s="95">
        <f t="shared" si="3"/>
        <v>16.429202633937894</v>
      </c>
      <c r="O23" s="95">
        <v>287000</v>
      </c>
    </row>
    <row r="24" spans="1:15" x14ac:dyDescent="0.45">
      <c r="A24" s="96" t="str">
        <f t="shared" si="1"/>
        <v>SHS 50x50x2</v>
      </c>
      <c r="B24" s="96">
        <v>2.93</v>
      </c>
      <c r="C24" s="96">
        <v>50</v>
      </c>
      <c r="D24" s="96">
        <f t="shared" si="4"/>
        <v>50</v>
      </c>
      <c r="E24" s="96">
        <v>2</v>
      </c>
      <c r="F24" s="96">
        <v>374</v>
      </c>
      <c r="G24" s="96">
        <v>141500</v>
      </c>
      <c r="H24" s="96">
        <v>5660</v>
      </c>
      <c r="I24" s="96">
        <v>6660</v>
      </c>
      <c r="J24" s="96">
        <f t="shared" si="2"/>
        <v>19.451021720961212</v>
      </c>
      <c r="K24" s="96">
        <f t="shared" si="3"/>
        <v>141500</v>
      </c>
      <c r="L24" s="96">
        <f t="shared" si="3"/>
        <v>5660</v>
      </c>
      <c r="M24" s="96">
        <f t="shared" si="3"/>
        <v>6660</v>
      </c>
      <c r="N24" s="96">
        <f t="shared" si="3"/>
        <v>19.451021720961212</v>
      </c>
      <c r="O24" s="96">
        <v>226300</v>
      </c>
    </row>
    <row r="25" spans="1:15" x14ac:dyDescent="0.45">
      <c r="A25" s="95" t="str">
        <f t="shared" si="1"/>
        <v>SHS 50x50x2,5</v>
      </c>
      <c r="B25" s="95">
        <v>3.6</v>
      </c>
      <c r="C25" s="95">
        <v>50</v>
      </c>
      <c r="D25" s="95">
        <f t="shared" si="4"/>
        <v>50</v>
      </c>
      <c r="E25" s="95">
        <v>2.5</v>
      </c>
      <c r="F25" s="95">
        <v>459</v>
      </c>
      <c r="G25" s="95">
        <v>169400</v>
      </c>
      <c r="H25" s="95">
        <v>6780</v>
      </c>
      <c r="I25" s="95">
        <v>8070</v>
      </c>
      <c r="J25" s="95">
        <f t="shared" si="2"/>
        <v>19.211017173171406</v>
      </c>
      <c r="K25" s="95">
        <f t="shared" si="3"/>
        <v>169400</v>
      </c>
      <c r="L25" s="95">
        <f t="shared" si="3"/>
        <v>6780</v>
      </c>
      <c r="M25" s="95">
        <f t="shared" si="3"/>
        <v>8070</v>
      </c>
      <c r="N25" s="95">
        <f t="shared" si="3"/>
        <v>19.211017173171406</v>
      </c>
      <c r="O25" s="95">
        <v>275300</v>
      </c>
    </row>
    <row r="26" spans="1:15" x14ac:dyDescent="0.45">
      <c r="A26" s="96" t="str">
        <f t="shared" si="1"/>
        <v>SHS 50x50x3</v>
      </c>
      <c r="B26" s="96">
        <v>4.25</v>
      </c>
      <c r="C26" s="96">
        <v>50</v>
      </c>
      <c r="D26" s="96">
        <f t="shared" si="4"/>
        <v>50</v>
      </c>
      <c r="E26" s="96">
        <v>3</v>
      </c>
      <c r="F26" s="96">
        <v>541</v>
      </c>
      <c r="G26" s="96">
        <v>194700</v>
      </c>
      <c r="H26" s="96">
        <v>7790</v>
      </c>
      <c r="I26" s="96">
        <v>9390</v>
      </c>
      <c r="J26" s="96">
        <f t="shared" si="2"/>
        <v>18.970743113274995</v>
      </c>
      <c r="K26" s="96">
        <f t="shared" si="3"/>
        <v>194700</v>
      </c>
      <c r="L26" s="96">
        <f t="shared" si="3"/>
        <v>7790</v>
      </c>
      <c r="M26" s="96">
        <f t="shared" si="3"/>
        <v>9390</v>
      </c>
      <c r="N26" s="96">
        <f t="shared" si="3"/>
        <v>18.970743113274995</v>
      </c>
      <c r="O26" s="96">
        <v>321300</v>
      </c>
    </row>
    <row r="27" spans="1:15" x14ac:dyDescent="0.45">
      <c r="A27" s="95" t="str">
        <f t="shared" si="1"/>
        <v>SHS 50x50x4</v>
      </c>
      <c r="B27" s="95">
        <v>5.45</v>
      </c>
      <c r="C27" s="95">
        <v>50</v>
      </c>
      <c r="D27" s="95">
        <f t="shared" si="4"/>
        <v>50</v>
      </c>
      <c r="E27" s="95">
        <v>4</v>
      </c>
      <c r="F27" s="95">
        <v>695</v>
      </c>
      <c r="G27" s="95">
        <v>237400</v>
      </c>
      <c r="H27" s="95">
        <v>9490</v>
      </c>
      <c r="I27" s="95">
        <v>11730</v>
      </c>
      <c r="J27" s="95">
        <f t="shared" si="2"/>
        <v>18.481956980064357</v>
      </c>
      <c r="K27" s="95">
        <f t="shared" si="3"/>
        <v>237400</v>
      </c>
      <c r="L27" s="95">
        <f t="shared" si="3"/>
        <v>9490</v>
      </c>
      <c r="M27" s="95">
        <f t="shared" si="3"/>
        <v>11730</v>
      </c>
      <c r="N27" s="95">
        <f t="shared" si="3"/>
        <v>18.481956980064357</v>
      </c>
      <c r="O27" s="95">
        <v>404200</v>
      </c>
    </row>
    <row r="28" spans="1:15" x14ac:dyDescent="0.45">
      <c r="A28" s="96" t="str">
        <f t="shared" si="1"/>
        <v>SHS 50x50x5</v>
      </c>
      <c r="B28" s="96">
        <v>6.56</v>
      </c>
      <c r="C28" s="96">
        <v>50</v>
      </c>
      <c r="D28" s="96">
        <f t="shared" si="4"/>
        <v>50</v>
      </c>
      <c r="E28" s="96">
        <v>5</v>
      </c>
      <c r="F28" s="96">
        <v>836</v>
      </c>
      <c r="G28" s="96">
        <v>270400</v>
      </c>
      <c r="H28" s="96">
        <v>10820</v>
      </c>
      <c r="I28" s="96">
        <v>13700</v>
      </c>
      <c r="J28" s="96">
        <f t="shared" si="2"/>
        <v>17.984576060517941</v>
      </c>
      <c r="K28" s="96">
        <f t="shared" si="3"/>
        <v>270400</v>
      </c>
      <c r="L28" s="96">
        <f t="shared" si="3"/>
        <v>10820</v>
      </c>
      <c r="M28" s="96">
        <f t="shared" si="3"/>
        <v>13700</v>
      </c>
      <c r="N28" s="96">
        <f t="shared" si="3"/>
        <v>17.984576060517941</v>
      </c>
      <c r="O28" s="96">
        <v>474600</v>
      </c>
    </row>
    <row r="29" spans="1:15" x14ac:dyDescent="0.45">
      <c r="A29" s="95" t="str">
        <f t="shared" si="1"/>
        <v>SHS 60x60x2</v>
      </c>
      <c r="B29" s="95">
        <v>3.56</v>
      </c>
      <c r="C29" s="95">
        <v>60</v>
      </c>
      <c r="D29" s="95">
        <f t="shared" si="4"/>
        <v>60</v>
      </c>
      <c r="E29" s="95">
        <v>2</v>
      </c>
      <c r="F29" s="95">
        <v>454</v>
      </c>
      <c r="G29" s="95">
        <v>251400</v>
      </c>
      <c r="H29" s="95">
        <v>8380</v>
      </c>
      <c r="I29" s="95">
        <v>9790</v>
      </c>
      <c r="J29" s="95">
        <f t="shared" si="2"/>
        <v>23.531776248130324</v>
      </c>
      <c r="K29" s="95">
        <f t="shared" si="3"/>
        <v>251400</v>
      </c>
      <c r="L29" s="95">
        <f t="shared" si="3"/>
        <v>8380</v>
      </c>
      <c r="M29" s="95">
        <f t="shared" si="3"/>
        <v>9790</v>
      </c>
      <c r="N29" s="95">
        <f t="shared" si="3"/>
        <v>23.531776248130324</v>
      </c>
      <c r="O29" s="95">
        <v>397900</v>
      </c>
    </row>
    <row r="30" spans="1:15" x14ac:dyDescent="0.45">
      <c r="A30" s="96" t="str">
        <f t="shared" si="1"/>
        <v>SHS 60x60x3</v>
      </c>
      <c r="B30" s="96">
        <v>5.19</v>
      </c>
      <c r="C30" s="96">
        <v>60</v>
      </c>
      <c r="D30" s="96">
        <f t="shared" si="4"/>
        <v>60</v>
      </c>
      <c r="E30" s="96">
        <v>3</v>
      </c>
      <c r="F30" s="96">
        <v>661</v>
      </c>
      <c r="G30" s="96">
        <v>351300</v>
      </c>
      <c r="H30" s="96">
        <v>11710</v>
      </c>
      <c r="I30" s="96">
        <v>13950</v>
      </c>
      <c r="J30" s="96">
        <f t="shared" si="2"/>
        <v>23.053578323656442</v>
      </c>
      <c r="K30" s="96">
        <f t="shared" si="3"/>
        <v>351300</v>
      </c>
      <c r="L30" s="96">
        <f t="shared" si="3"/>
        <v>11710</v>
      </c>
      <c r="M30" s="96">
        <f t="shared" si="3"/>
        <v>13950</v>
      </c>
      <c r="N30" s="96">
        <f t="shared" si="3"/>
        <v>23.053578323656442</v>
      </c>
      <c r="O30" s="96">
        <v>570900</v>
      </c>
    </row>
    <row r="31" spans="1:15" x14ac:dyDescent="0.45">
      <c r="A31" s="95" t="str">
        <f t="shared" si="1"/>
        <v>SHS 60x60x4</v>
      </c>
      <c r="B31" s="95">
        <v>6.71</v>
      </c>
      <c r="C31" s="95">
        <v>60</v>
      </c>
      <c r="D31" s="95">
        <v>60</v>
      </c>
      <c r="E31" s="95">
        <v>4</v>
      </c>
      <c r="F31" s="95">
        <v>855.00000000000011</v>
      </c>
      <c r="G31" s="95">
        <v>435500</v>
      </c>
      <c r="H31" s="95">
        <v>14520</v>
      </c>
      <c r="I31" s="95">
        <v>17640</v>
      </c>
      <c r="J31" s="95">
        <f>SQRT(G31/F31)</f>
        <v>22.568932742737278</v>
      </c>
      <c r="K31" s="95">
        <f t="shared" ref="K31:N58" si="5">G31</f>
        <v>435500</v>
      </c>
      <c r="L31" s="95">
        <f t="shared" si="5"/>
        <v>14520</v>
      </c>
      <c r="M31" s="95">
        <f t="shared" si="5"/>
        <v>17640</v>
      </c>
      <c r="N31" s="95">
        <f t="shared" si="5"/>
        <v>22.568932742737278</v>
      </c>
      <c r="O31" s="95">
        <v>726400</v>
      </c>
    </row>
    <row r="32" spans="1:15" x14ac:dyDescent="0.45">
      <c r="A32" s="96" t="str">
        <f t="shared" si="1"/>
        <v>SHS 60x60x5</v>
      </c>
      <c r="B32" s="96">
        <v>8.1300000000000008</v>
      </c>
      <c r="C32" s="96">
        <v>60</v>
      </c>
      <c r="D32" s="96">
        <v>60</v>
      </c>
      <c r="E32" s="96">
        <v>5</v>
      </c>
      <c r="F32" s="96">
        <v>1036</v>
      </c>
      <c r="G32" s="96">
        <v>505000</v>
      </c>
      <c r="H32" s="96">
        <v>16830</v>
      </c>
      <c r="I32" s="96">
        <v>20880</v>
      </c>
      <c r="J32" s="96">
        <f t="shared" si="2"/>
        <v>22.078309207268056</v>
      </c>
      <c r="K32" s="96">
        <f t="shared" si="5"/>
        <v>505000</v>
      </c>
      <c r="L32" s="96">
        <f t="shared" si="5"/>
        <v>16830</v>
      </c>
      <c r="M32" s="96">
        <f t="shared" si="5"/>
        <v>20880</v>
      </c>
      <c r="N32" s="96">
        <f t="shared" si="5"/>
        <v>22.078309207268056</v>
      </c>
      <c r="O32" s="96">
        <v>864200</v>
      </c>
    </row>
    <row r="33" spans="1:15" x14ac:dyDescent="0.45">
      <c r="A33" s="95" t="str">
        <f t="shared" si="1"/>
        <v>SHS 70x70x2</v>
      </c>
      <c r="B33" s="95">
        <v>4.1900000000000004</v>
      </c>
      <c r="C33" s="95">
        <v>70</v>
      </c>
      <c r="D33" s="95">
        <v>70</v>
      </c>
      <c r="E33" s="95">
        <v>2</v>
      </c>
      <c r="F33" s="95">
        <v>534</v>
      </c>
      <c r="G33" s="95">
        <v>407000</v>
      </c>
      <c r="H33" s="95">
        <v>11600</v>
      </c>
      <c r="I33" s="95">
        <v>13500</v>
      </c>
      <c r="J33" s="95">
        <f t="shared" si="2"/>
        <v>27.607467914392199</v>
      </c>
      <c r="K33" s="95">
        <f t="shared" si="5"/>
        <v>407000</v>
      </c>
      <c r="L33" s="95">
        <f t="shared" si="5"/>
        <v>11600</v>
      </c>
      <c r="M33" s="95">
        <f t="shared" si="5"/>
        <v>13500</v>
      </c>
      <c r="N33" s="95">
        <f t="shared" si="5"/>
        <v>27.607467914392199</v>
      </c>
      <c r="O33" s="95">
        <v>640000</v>
      </c>
    </row>
    <row r="34" spans="1:15" x14ac:dyDescent="0.45">
      <c r="A34" s="96" t="str">
        <f t="shared" si="1"/>
        <v>SHS 70x70x3</v>
      </c>
      <c r="B34" s="96">
        <v>6.13</v>
      </c>
      <c r="C34" s="96">
        <v>70</v>
      </c>
      <c r="D34" s="96">
        <v>70</v>
      </c>
      <c r="E34" s="96">
        <v>3</v>
      </c>
      <c r="F34" s="96">
        <v>781</v>
      </c>
      <c r="G34" s="96">
        <v>575200</v>
      </c>
      <c r="H34" s="96">
        <v>16440</v>
      </c>
      <c r="I34" s="96">
        <v>19410</v>
      </c>
      <c r="J34" s="96">
        <f t="shared" si="2"/>
        <v>27.138380153147455</v>
      </c>
      <c r="K34" s="96">
        <f t="shared" si="5"/>
        <v>575200</v>
      </c>
      <c r="L34" s="96">
        <f t="shared" si="5"/>
        <v>16440</v>
      </c>
      <c r="M34" s="96">
        <f t="shared" si="5"/>
        <v>19410</v>
      </c>
      <c r="N34" s="96">
        <f t="shared" si="5"/>
        <v>27.138380153147455</v>
      </c>
      <c r="O34" s="96">
        <v>924200</v>
      </c>
    </row>
    <row r="35" spans="1:15" x14ac:dyDescent="0.45">
      <c r="A35" s="95" t="str">
        <f t="shared" si="1"/>
        <v>SHS 70x70x4</v>
      </c>
      <c r="B35" s="95">
        <v>7.97</v>
      </c>
      <c r="C35" s="95">
        <v>70</v>
      </c>
      <c r="D35" s="95">
        <v>70</v>
      </c>
      <c r="E35" s="95">
        <v>4</v>
      </c>
      <c r="F35" s="95">
        <v>1015</v>
      </c>
      <c r="G35" s="95">
        <v>721200</v>
      </c>
      <c r="H35" s="95">
        <v>20600</v>
      </c>
      <c r="I35" s="95">
        <v>24750</v>
      </c>
      <c r="J35" s="95">
        <f t="shared" si="2"/>
        <v>26.655991295038763</v>
      </c>
      <c r="K35" s="95">
        <f t="shared" si="5"/>
        <v>721200</v>
      </c>
      <c r="L35" s="95">
        <f t="shared" si="5"/>
        <v>20600</v>
      </c>
      <c r="M35" s="95">
        <f t="shared" si="5"/>
        <v>24750</v>
      </c>
      <c r="N35" s="95">
        <f t="shared" si="5"/>
        <v>26.655991295038763</v>
      </c>
      <c r="O35" s="95">
        <v>1185200</v>
      </c>
    </row>
    <row r="36" spans="1:15" x14ac:dyDescent="0.45">
      <c r="A36" s="96" t="str">
        <f t="shared" si="1"/>
        <v>SHS 70x70x5</v>
      </c>
      <c r="B36" s="96">
        <v>9.6999999999999993</v>
      </c>
      <c r="C36" s="96">
        <v>70</v>
      </c>
      <c r="D36" s="96">
        <v>70</v>
      </c>
      <c r="E36" s="96">
        <v>5</v>
      </c>
      <c r="F36" s="96">
        <v>1236</v>
      </c>
      <c r="G36" s="96">
        <v>846300</v>
      </c>
      <c r="H36" s="96">
        <v>24180</v>
      </c>
      <c r="I36" s="96">
        <v>29550</v>
      </c>
      <c r="J36" s="96">
        <f t="shared" si="2"/>
        <v>26.166939787909431</v>
      </c>
      <c r="K36" s="96">
        <f t="shared" si="5"/>
        <v>846300</v>
      </c>
      <c r="L36" s="96">
        <f t="shared" si="5"/>
        <v>24180</v>
      </c>
      <c r="M36" s="96">
        <f t="shared" si="5"/>
        <v>29550</v>
      </c>
      <c r="N36" s="96">
        <f t="shared" si="5"/>
        <v>26.166939787909431</v>
      </c>
      <c r="O36" s="96">
        <v>1422100</v>
      </c>
    </row>
    <row r="37" spans="1:15" x14ac:dyDescent="0.45">
      <c r="A37" s="95" t="str">
        <f t="shared" si="1"/>
        <v>SHS 80x80x2</v>
      </c>
      <c r="B37" s="95">
        <v>4.82</v>
      </c>
      <c r="C37" s="95">
        <v>80</v>
      </c>
      <c r="D37" s="95">
        <v>80</v>
      </c>
      <c r="E37" s="95">
        <v>2</v>
      </c>
      <c r="F37" s="95">
        <v>614</v>
      </c>
      <c r="G37" s="95">
        <v>617000</v>
      </c>
      <c r="H37" s="95">
        <v>15400</v>
      </c>
      <c r="I37" s="95">
        <v>17800</v>
      </c>
      <c r="J37" s="95">
        <f t="shared" si="2"/>
        <v>31.699936805699505</v>
      </c>
      <c r="K37" s="95">
        <f t="shared" si="5"/>
        <v>617000</v>
      </c>
      <c r="L37" s="95">
        <f t="shared" si="5"/>
        <v>15400</v>
      </c>
      <c r="M37" s="95">
        <f t="shared" si="5"/>
        <v>17800</v>
      </c>
      <c r="N37" s="95">
        <f t="shared" si="5"/>
        <v>31.699936805699505</v>
      </c>
      <c r="O37" s="95">
        <v>963000</v>
      </c>
    </row>
    <row r="38" spans="1:15" x14ac:dyDescent="0.45">
      <c r="A38" s="96" t="str">
        <f t="shared" si="1"/>
        <v>SHS 80x80x3</v>
      </c>
      <c r="B38" s="96">
        <v>7.07</v>
      </c>
      <c r="C38" s="96">
        <v>80</v>
      </c>
      <c r="D38" s="96">
        <v>80</v>
      </c>
      <c r="E38" s="96">
        <v>3</v>
      </c>
      <c r="F38" s="96">
        <v>901</v>
      </c>
      <c r="G38" s="96">
        <v>878400</v>
      </c>
      <c r="H38" s="96">
        <v>21960</v>
      </c>
      <c r="I38" s="96">
        <v>25780</v>
      </c>
      <c r="J38" s="96">
        <f t="shared" si="2"/>
        <v>31.223657043281985</v>
      </c>
      <c r="K38" s="96">
        <f t="shared" si="5"/>
        <v>878400</v>
      </c>
      <c r="L38" s="96">
        <f t="shared" si="5"/>
        <v>21960</v>
      </c>
      <c r="M38" s="96">
        <f t="shared" si="5"/>
        <v>25780</v>
      </c>
      <c r="N38" s="96">
        <f t="shared" si="5"/>
        <v>31.223657043281985</v>
      </c>
      <c r="O38" s="96">
        <v>1399300</v>
      </c>
    </row>
    <row r="39" spans="1:15" x14ac:dyDescent="0.45">
      <c r="A39" s="95" t="str">
        <f t="shared" si="1"/>
        <v>SHS 80x80x3,5</v>
      </c>
      <c r="B39" s="95">
        <v>8.16</v>
      </c>
      <c r="C39" s="95">
        <v>80</v>
      </c>
      <c r="D39" s="95">
        <v>80</v>
      </c>
      <c r="E39" s="95">
        <v>3.5</v>
      </c>
      <c r="F39" s="95">
        <v>1040</v>
      </c>
      <c r="G39" s="95">
        <v>998000</v>
      </c>
      <c r="H39" s="95">
        <v>25000</v>
      </c>
      <c r="I39" s="95">
        <v>29500</v>
      </c>
      <c r="J39" s="95">
        <f t="shared" si="2"/>
        <v>30.977659443789239</v>
      </c>
      <c r="K39" s="95">
        <f t="shared" si="5"/>
        <v>998000</v>
      </c>
      <c r="L39" s="95">
        <f t="shared" si="5"/>
        <v>25000</v>
      </c>
      <c r="M39" s="95">
        <f t="shared" si="5"/>
        <v>29500</v>
      </c>
      <c r="N39" s="95">
        <f t="shared" si="5"/>
        <v>30.977659443789239</v>
      </c>
      <c r="O39" s="95">
        <v>1610000</v>
      </c>
    </row>
    <row r="40" spans="1:15" x14ac:dyDescent="0.45">
      <c r="A40" s="96" t="str">
        <f t="shared" si="1"/>
        <v>SHS 80x80x4</v>
      </c>
      <c r="B40" s="96">
        <v>9.2200000000000006</v>
      </c>
      <c r="C40" s="96">
        <v>80</v>
      </c>
      <c r="D40" s="96">
        <v>80</v>
      </c>
      <c r="E40" s="96">
        <v>4</v>
      </c>
      <c r="F40" s="96">
        <v>1175</v>
      </c>
      <c r="G40" s="96">
        <v>1110400</v>
      </c>
      <c r="H40" s="96">
        <v>27760</v>
      </c>
      <c r="I40" s="96">
        <v>33070</v>
      </c>
      <c r="J40" s="96">
        <f t="shared" si="2"/>
        <v>30.741198359786573</v>
      </c>
      <c r="K40" s="96">
        <f t="shared" si="5"/>
        <v>1110400</v>
      </c>
      <c r="L40" s="96">
        <f t="shared" si="5"/>
        <v>27760</v>
      </c>
      <c r="M40" s="96">
        <f t="shared" si="5"/>
        <v>33070</v>
      </c>
      <c r="N40" s="96">
        <f t="shared" si="5"/>
        <v>30.741198359786573</v>
      </c>
      <c r="O40" s="96">
        <v>1804400</v>
      </c>
    </row>
    <row r="41" spans="1:15" x14ac:dyDescent="0.45">
      <c r="A41" s="95" t="str">
        <f t="shared" si="1"/>
        <v>SHS 80x80x5</v>
      </c>
      <c r="B41" s="95">
        <v>11.27</v>
      </c>
      <c r="C41" s="95">
        <v>80</v>
      </c>
      <c r="D41" s="95">
        <v>80</v>
      </c>
      <c r="E41" s="95">
        <v>5</v>
      </c>
      <c r="F41" s="95">
        <v>1436</v>
      </c>
      <c r="G41" s="95">
        <v>1314400</v>
      </c>
      <c r="H41" s="95">
        <v>32860</v>
      </c>
      <c r="I41" s="95">
        <v>39730</v>
      </c>
      <c r="J41" s="95">
        <f t="shared" si="2"/>
        <v>30.254261423175386</v>
      </c>
      <c r="K41" s="95">
        <f t="shared" si="5"/>
        <v>1314400</v>
      </c>
      <c r="L41" s="95">
        <f t="shared" si="5"/>
        <v>32860</v>
      </c>
      <c r="M41" s="95">
        <f t="shared" si="5"/>
        <v>39730</v>
      </c>
      <c r="N41" s="95">
        <f t="shared" si="5"/>
        <v>30.254261423175386</v>
      </c>
      <c r="O41" s="95">
        <v>2178300</v>
      </c>
    </row>
    <row r="42" spans="1:15" x14ac:dyDescent="0.45">
      <c r="A42" s="96" t="str">
        <f t="shared" si="1"/>
        <v>SHS 80x80x6</v>
      </c>
      <c r="B42" s="96">
        <v>13.21</v>
      </c>
      <c r="C42" s="96">
        <v>80</v>
      </c>
      <c r="D42" s="96">
        <v>80</v>
      </c>
      <c r="E42" s="96">
        <v>6</v>
      </c>
      <c r="F42" s="96">
        <v>1682.9999999999998</v>
      </c>
      <c r="G42" s="96">
        <v>1491800</v>
      </c>
      <c r="H42" s="96">
        <v>37290</v>
      </c>
      <c r="I42" s="96">
        <v>45780</v>
      </c>
      <c r="J42" s="96">
        <f t="shared" si="2"/>
        <v>29.772358744595209</v>
      </c>
      <c r="K42" s="96">
        <f t="shared" si="5"/>
        <v>1491800</v>
      </c>
      <c r="L42" s="96">
        <f t="shared" si="5"/>
        <v>37290</v>
      </c>
      <c r="M42" s="96">
        <f t="shared" si="5"/>
        <v>45780</v>
      </c>
      <c r="N42" s="96">
        <f t="shared" si="5"/>
        <v>29.772358744595209</v>
      </c>
      <c r="O42" s="96">
        <v>2520700</v>
      </c>
    </row>
    <row r="43" spans="1:15" x14ac:dyDescent="0.45">
      <c r="A43" s="95" t="str">
        <f t="shared" si="1"/>
        <v>SHS 90x90x3</v>
      </c>
      <c r="B43" s="95">
        <v>8.01</v>
      </c>
      <c r="C43" s="95">
        <v>90</v>
      </c>
      <c r="D43" s="95">
        <v>90</v>
      </c>
      <c r="E43" s="95">
        <v>3</v>
      </c>
      <c r="F43" s="95">
        <v>1021.0000000000001</v>
      </c>
      <c r="G43" s="95">
        <v>1272800</v>
      </c>
      <c r="H43" s="95">
        <v>28280</v>
      </c>
      <c r="I43" s="95">
        <v>33040</v>
      </c>
      <c r="J43" s="95">
        <f t="shared" si="2"/>
        <v>35.307519876696112</v>
      </c>
      <c r="K43" s="95">
        <f t="shared" si="5"/>
        <v>1272800</v>
      </c>
      <c r="L43" s="95">
        <f t="shared" si="5"/>
        <v>28280</v>
      </c>
      <c r="M43" s="95">
        <f t="shared" si="5"/>
        <v>33040</v>
      </c>
      <c r="N43" s="95">
        <f t="shared" si="5"/>
        <v>35.307519876696112</v>
      </c>
      <c r="O43" s="95">
        <v>2014199.9999999998</v>
      </c>
    </row>
    <row r="44" spans="1:15" x14ac:dyDescent="0.45">
      <c r="A44" s="96" t="str">
        <f t="shared" si="1"/>
        <v>SHS 90x90x4</v>
      </c>
      <c r="B44" s="96">
        <v>10.48</v>
      </c>
      <c r="C44" s="96">
        <v>90</v>
      </c>
      <c r="D44" s="96">
        <v>90</v>
      </c>
      <c r="E44" s="96">
        <v>4</v>
      </c>
      <c r="F44" s="96">
        <v>1335</v>
      </c>
      <c r="G44" s="96">
        <v>1619100</v>
      </c>
      <c r="H44" s="96">
        <v>35980</v>
      </c>
      <c r="I44" s="96">
        <v>42580</v>
      </c>
      <c r="J44" s="96">
        <f t="shared" si="2"/>
        <v>34.825407230412182</v>
      </c>
      <c r="K44" s="96">
        <f t="shared" si="5"/>
        <v>1619100</v>
      </c>
      <c r="L44" s="96">
        <f t="shared" si="5"/>
        <v>35980</v>
      </c>
      <c r="M44" s="96">
        <f t="shared" si="5"/>
        <v>42580</v>
      </c>
      <c r="N44" s="96">
        <f t="shared" si="5"/>
        <v>34.825407230412182</v>
      </c>
      <c r="O44" s="96">
        <v>2608000</v>
      </c>
    </row>
    <row r="45" spans="1:15" x14ac:dyDescent="0.45">
      <c r="A45" s="95" t="str">
        <f t="shared" si="1"/>
        <v>SHS 90x90x5</v>
      </c>
      <c r="B45" s="95">
        <v>12.84</v>
      </c>
      <c r="C45" s="95">
        <v>90</v>
      </c>
      <c r="D45" s="95">
        <v>90</v>
      </c>
      <c r="E45" s="95">
        <v>5</v>
      </c>
      <c r="F45" s="95">
        <v>1636</v>
      </c>
      <c r="G45" s="95">
        <v>1929199.9999999998</v>
      </c>
      <c r="H45" s="95">
        <v>42870</v>
      </c>
      <c r="I45" s="95">
        <v>51410</v>
      </c>
      <c r="J45" s="95">
        <f t="shared" si="2"/>
        <v>34.3397379709278</v>
      </c>
      <c r="K45" s="95">
        <f t="shared" si="5"/>
        <v>1929199.9999999998</v>
      </c>
      <c r="L45" s="95">
        <f t="shared" si="5"/>
        <v>42870</v>
      </c>
      <c r="M45" s="95">
        <f t="shared" si="5"/>
        <v>51410</v>
      </c>
      <c r="N45" s="95">
        <f t="shared" si="5"/>
        <v>34.3397379709278</v>
      </c>
      <c r="O45" s="95">
        <v>3162600</v>
      </c>
    </row>
    <row r="46" spans="1:15" x14ac:dyDescent="0.45">
      <c r="A46" s="96" t="str">
        <f t="shared" si="1"/>
        <v>SHS 90x90x6</v>
      </c>
      <c r="B46" s="96">
        <v>15.1</v>
      </c>
      <c r="C46" s="96">
        <v>90</v>
      </c>
      <c r="D46" s="96">
        <v>90</v>
      </c>
      <c r="E46" s="96">
        <v>6</v>
      </c>
      <c r="F46" s="96">
        <v>1923</v>
      </c>
      <c r="G46" s="96">
        <v>2204700</v>
      </c>
      <c r="H46" s="96">
        <v>48990</v>
      </c>
      <c r="I46" s="96">
        <v>59540</v>
      </c>
      <c r="J46" s="96">
        <f t="shared" si="2"/>
        <v>33.859856166179789</v>
      </c>
      <c r="K46" s="96">
        <f t="shared" si="5"/>
        <v>2204700</v>
      </c>
      <c r="L46" s="96">
        <f t="shared" si="5"/>
        <v>48990</v>
      </c>
      <c r="M46" s="96">
        <f t="shared" si="5"/>
        <v>59540</v>
      </c>
      <c r="N46" s="96">
        <f t="shared" si="5"/>
        <v>33.859856166179789</v>
      </c>
      <c r="O46" s="96">
        <v>3677600</v>
      </c>
    </row>
    <row r="47" spans="1:15" x14ac:dyDescent="0.45">
      <c r="A47" s="95" t="str">
        <f t="shared" si="1"/>
        <v>SHS 100x100x3</v>
      </c>
      <c r="B47" s="95">
        <v>8.9600000000000009</v>
      </c>
      <c r="C47" s="95">
        <v>100</v>
      </c>
      <c r="D47" s="95">
        <v>100</v>
      </c>
      <c r="E47" s="95">
        <v>3</v>
      </c>
      <c r="F47" s="95">
        <v>1141</v>
      </c>
      <c r="G47" s="95">
        <v>1770400</v>
      </c>
      <c r="H47" s="95">
        <v>35410</v>
      </c>
      <c r="I47" s="95">
        <v>41210</v>
      </c>
      <c r="J47" s="95">
        <f t="shared" si="2"/>
        <v>39.390625594806423</v>
      </c>
      <c r="K47" s="95">
        <f t="shared" si="5"/>
        <v>1770400</v>
      </c>
      <c r="L47" s="95">
        <f t="shared" si="5"/>
        <v>35410</v>
      </c>
      <c r="M47" s="95">
        <f t="shared" si="5"/>
        <v>41210</v>
      </c>
      <c r="N47" s="95">
        <f t="shared" si="5"/>
        <v>39.390625594806423</v>
      </c>
      <c r="O47" s="95">
        <v>2786800</v>
      </c>
    </row>
    <row r="48" spans="1:15" x14ac:dyDescent="0.45">
      <c r="A48" s="96" t="str">
        <f t="shared" si="1"/>
        <v>SHS 100x100x4</v>
      </c>
      <c r="B48" s="96">
        <v>11.73</v>
      </c>
      <c r="C48" s="96">
        <v>100</v>
      </c>
      <c r="D48" s="96">
        <v>100</v>
      </c>
      <c r="E48" s="96">
        <v>4</v>
      </c>
      <c r="F48" s="96">
        <v>1495</v>
      </c>
      <c r="G48" s="96">
        <v>2263400</v>
      </c>
      <c r="H48" s="96">
        <v>45270</v>
      </c>
      <c r="I48" s="96">
        <v>53300</v>
      </c>
      <c r="J48" s="96">
        <f t="shared" si="2"/>
        <v>38.909895053962401</v>
      </c>
      <c r="K48" s="96">
        <f t="shared" si="5"/>
        <v>2263400</v>
      </c>
      <c r="L48" s="96">
        <f t="shared" si="5"/>
        <v>45270</v>
      </c>
      <c r="M48" s="96">
        <f t="shared" si="5"/>
        <v>53300</v>
      </c>
      <c r="N48" s="96">
        <f t="shared" si="5"/>
        <v>38.909895053962401</v>
      </c>
      <c r="O48" s="96">
        <v>3620100</v>
      </c>
    </row>
    <row r="49" spans="1:15" x14ac:dyDescent="0.45">
      <c r="A49" s="95" t="str">
        <f t="shared" si="1"/>
        <v>SHS 100x100x5</v>
      </c>
      <c r="B49" s="95">
        <v>14.41</v>
      </c>
      <c r="C49" s="95">
        <v>100</v>
      </c>
      <c r="D49" s="95">
        <v>100</v>
      </c>
      <c r="E49" s="95">
        <v>5</v>
      </c>
      <c r="F49" s="95">
        <v>1836</v>
      </c>
      <c r="G49" s="95">
        <v>2710899.9999999995</v>
      </c>
      <c r="H49" s="95">
        <v>54220</v>
      </c>
      <c r="I49" s="95">
        <v>64590</v>
      </c>
      <c r="J49" s="95">
        <f t="shared" si="2"/>
        <v>38.42557812793752</v>
      </c>
      <c r="K49" s="95">
        <f t="shared" si="5"/>
        <v>2710899.9999999995</v>
      </c>
      <c r="L49" s="95">
        <f t="shared" si="5"/>
        <v>54220</v>
      </c>
      <c r="M49" s="95">
        <f t="shared" si="5"/>
        <v>64590</v>
      </c>
      <c r="N49" s="95">
        <f t="shared" si="5"/>
        <v>38.42557812793752</v>
      </c>
      <c r="O49" s="95">
        <v>4405200</v>
      </c>
    </row>
    <row r="50" spans="1:15" x14ac:dyDescent="0.45">
      <c r="A50" s="96" t="str">
        <f t="shared" si="1"/>
        <v>SHS 100x100x6</v>
      </c>
      <c r="B50" s="96">
        <v>16.98</v>
      </c>
      <c r="C50" s="96">
        <v>100</v>
      </c>
      <c r="D50" s="96">
        <v>100</v>
      </c>
      <c r="E50" s="96">
        <v>6</v>
      </c>
      <c r="F50" s="96">
        <v>2163</v>
      </c>
      <c r="G50" s="96">
        <v>3114600</v>
      </c>
      <c r="H50" s="96">
        <v>62290</v>
      </c>
      <c r="I50" s="96">
        <v>75090</v>
      </c>
      <c r="J50" s="96">
        <f t="shared" si="2"/>
        <v>37.946600921530766</v>
      </c>
      <c r="K50" s="96">
        <f t="shared" si="5"/>
        <v>3114600</v>
      </c>
      <c r="L50" s="96">
        <f t="shared" si="5"/>
        <v>62290</v>
      </c>
      <c r="M50" s="96">
        <f t="shared" si="5"/>
        <v>75090</v>
      </c>
      <c r="N50" s="96">
        <f t="shared" si="5"/>
        <v>37.946600921530766</v>
      </c>
      <c r="O50" s="96">
        <v>5141600</v>
      </c>
    </row>
    <row r="51" spans="1:15" x14ac:dyDescent="0.45">
      <c r="A51" s="95" t="str">
        <f t="shared" si="1"/>
        <v>SHS 100x100x7</v>
      </c>
      <c r="B51" s="95">
        <v>19.100000000000001</v>
      </c>
      <c r="C51" s="95">
        <v>100</v>
      </c>
      <c r="D51" s="95">
        <v>100</v>
      </c>
      <c r="E51" s="95">
        <v>7</v>
      </c>
      <c r="F51" s="95">
        <v>2440</v>
      </c>
      <c r="G51" s="95">
        <v>3370000</v>
      </c>
      <c r="H51" s="95">
        <v>67400</v>
      </c>
      <c r="I51" s="95">
        <v>82700</v>
      </c>
      <c r="J51" s="95">
        <f t="shared" si="2"/>
        <v>37.163793414876345</v>
      </c>
      <c r="K51" s="95">
        <f t="shared" si="5"/>
        <v>3370000</v>
      </c>
      <c r="L51" s="95">
        <f t="shared" si="5"/>
        <v>67400</v>
      </c>
      <c r="M51" s="95">
        <f t="shared" si="5"/>
        <v>82700</v>
      </c>
      <c r="N51" s="95">
        <f t="shared" si="5"/>
        <v>37.163793414876345</v>
      </c>
      <c r="O51" s="95">
        <v>5830000</v>
      </c>
    </row>
    <row r="52" spans="1:15" x14ac:dyDescent="0.45">
      <c r="A52" s="96" t="str">
        <f t="shared" si="1"/>
        <v>SHS 120x120x3</v>
      </c>
      <c r="B52" s="96">
        <v>10.84</v>
      </c>
      <c r="C52" s="96">
        <v>120</v>
      </c>
      <c r="D52" s="96">
        <v>120</v>
      </c>
      <c r="E52" s="96">
        <v>3</v>
      </c>
      <c r="F52" s="96">
        <v>1381</v>
      </c>
      <c r="G52" s="96">
        <v>3123300</v>
      </c>
      <c r="H52" s="96">
        <v>52060</v>
      </c>
      <c r="I52" s="96">
        <v>60230</v>
      </c>
      <c r="J52" s="96">
        <f t="shared" si="2"/>
        <v>47.556513886470206</v>
      </c>
      <c r="K52" s="96">
        <f t="shared" si="5"/>
        <v>3123300</v>
      </c>
      <c r="L52" s="96">
        <f t="shared" si="5"/>
        <v>52060</v>
      </c>
      <c r="M52" s="96">
        <f t="shared" si="5"/>
        <v>60230</v>
      </c>
      <c r="N52" s="96">
        <f t="shared" si="5"/>
        <v>47.556513886470206</v>
      </c>
      <c r="O52" s="96">
        <v>4877200</v>
      </c>
    </row>
    <row r="53" spans="1:15" x14ac:dyDescent="0.45">
      <c r="A53" s="95" t="str">
        <f t="shared" si="1"/>
        <v>SHS 120x120x4</v>
      </c>
      <c r="B53" s="95">
        <v>14.25</v>
      </c>
      <c r="C53" s="95">
        <v>120</v>
      </c>
      <c r="D53" s="95">
        <v>120</v>
      </c>
      <c r="E53" s="95">
        <v>4</v>
      </c>
      <c r="F53" s="95">
        <v>1814.9999999999998</v>
      </c>
      <c r="G53" s="95">
        <v>4022600</v>
      </c>
      <c r="H53" s="95">
        <v>67040</v>
      </c>
      <c r="I53" s="95">
        <v>78320</v>
      </c>
      <c r="J53" s="95">
        <f t="shared" si="2"/>
        <v>47.077686221233343</v>
      </c>
      <c r="K53" s="95">
        <f t="shared" si="5"/>
        <v>4022600</v>
      </c>
      <c r="L53" s="95">
        <f t="shared" si="5"/>
        <v>67040</v>
      </c>
      <c r="M53" s="95">
        <f t="shared" si="5"/>
        <v>78320</v>
      </c>
      <c r="N53" s="95">
        <f t="shared" si="5"/>
        <v>47.077686221233343</v>
      </c>
      <c r="O53" s="95">
        <v>6365700.0000000009</v>
      </c>
    </row>
    <row r="54" spans="1:15" x14ac:dyDescent="0.45">
      <c r="A54" s="96" t="str">
        <f t="shared" si="1"/>
        <v>SHS 120x120x5</v>
      </c>
      <c r="B54" s="96">
        <v>17.55</v>
      </c>
      <c r="C54" s="96">
        <v>120</v>
      </c>
      <c r="D54" s="96">
        <v>120</v>
      </c>
      <c r="E54" s="96">
        <v>5</v>
      </c>
      <c r="F54" s="96">
        <v>2236</v>
      </c>
      <c r="G54" s="96">
        <v>4854500</v>
      </c>
      <c r="H54" s="96">
        <v>80910</v>
      </c>
      <c r="I54" s="96">
        <v>95440</v>
      </c>
      <c r="J54" s="96">
        <f t="shared" si="2"/>
        <v>46.594682107677947</v>
      </c>
      <c r="K54" s="96">
        <f t="shared" si="5"/>
        <v>4854500</v>
      </c>
      <c r="L54" s="96">
        <f t="shared" si="5"/>
        <v>80910</v>
      </c>
      <c r="M54" s="96">
        <f t="shared" si="5"/>
        <v>95440</v>
      </c>
      <c r="N54" s="96">
        <f t="shared" si="5"/>
        <v>46.594682107677947</v>
      </c>
      <c r="O54" s="96">
        <v>7785000</v>
      </c>
    </row>
    <row r="55" spans="1:15" x14ac:dyDescent="0.45">
      <c r="A55" s="95" t="str">
        <f t="shared" si="1"/>
        <v>SHS 120x120x6</v>
      </c>
      <c r="B55" s="95">
        <v>20.75</v>
      </c>
      <c r="C55" s="95">
        <v>120</v>
      </c>
      <c r="D55" s="95">
        <v>120</v>
      </c>
      <c r="E55" s="95">
        <v>6</v>
      </c>
      <c r="F55" s="95">
        <v>2643</v>
      </c>
      <c r="G55" s="95">
        <v>5621300</v>
      </c>
      <c r="H55" s="95">
        <v>93690</v>
      </c>
      <c r="I55" s="95">
        <v>111600</v>
      </c>
      <c r="J55" s="95">
        <f t="shared" si="2"/>
        <v>46.117929406994172</v>
      </c>
      <c r="K55" s="95">
        <f t="shared" si="5"/>
        <v>5621300</v>
      </c>
      <c r="L55" s="95">
        <f t="shared" si="5"/>
        <v>93690</v>
      </c>
      <c r="M55" s="95">
        <f t="shared" si="5"/>
        <v>111600</v>
      </c>
      <c r="N55" s="95">
        <f t="shared" si="5"/>
        <v>46.117929406994172</v>
      </c>
      <c r="O55" s="95">
        <v>9134600</v>
      </c>
    </row>
    <row r="56" spans="1:15" x14ac:dyDescent="0.45">
      <c r="A56" s="96" t="str">
        <f t="shared" si="1"/>
        <v>SHS 120x120x7</v>
      </c>
      <c r="B56" s="96">
        <v>23.5</v>
      </c>
      <c r="C56" s="96">
        <v>120</v>
      </c>
      <c r="D56" s="96">
        <v>120</v>
      </c>
      <c r="E56" s="96">
        <v>7</v>
      </c>
      <c r="F56" s="96">
        <v>3000</v>
      </c>
      <c r="G56" s="96">
        <v>6170000</v>
      </c>
      <c r="H56" s="96">
        <v>103000</v>
      </c>
      <c r="I56" s="96">
        <v>124000</v>
      </c>
      <c r="J56" s="96">
        <f t="shared" si="2"/>
        <v>45.350486950711634</v>
      </c>
      <c r="K56" s="96">
        <f t="shared" si="5"/>
        <v>6170000</v>
      </c>
      <c r="L56" s="96">
        <f t="shared" si="5"/>
        <v>103000</v>
      </c>
      <c r="M56" s="96">
        <f t="shared" si="5"/>
        <v>124000</v>
      </c>
      <c r="N56" s="96">
        <f t="shared" si="5"/>
        <v>45.350486950711634</v>
      </c>
      <c r="O56" s="96">
        <v>10440000</v>
      </c>
    </row>
    <row r="57" spans="1:15" x14ac:dyDescent="0.45">
      <c r="A57" s="95" t="str">
        <f t="shared" si="1"/>
        <v>SHS 140x140x3</v>
      </c>
      <c r="B57" s="95">
        <v>12.7</v>
      </c>
      <c r="C57" s="95">
        <v>140</v>
      </c>
      <c r="D57" s="95">
        <v>140</v>
      </c>
      <c r="E57" s="95">
        <v>3</v>
      </c>
      <c r="F57" s="95">
        <v>1620</v>
      </c>
      <c r="G57" s="95">
        <v>5030000</v>
      </c>
      <c r="H57" s="95">
        <v>71900</v>
      </c>
      <c r="I57" s="95">
        <v>82900</v>
      </c>
      <c r="J57" s="95">
        <f t="shared" si="2"/>
        <v>55.721972969421479</v>
      </c>
      <c r="K57" s="95">
        <f t="shared" si="5"/>
        <v>5030000</v>
      </c>
      <c r="L57" s="95">
        <f t="shared" si="5"/>
        <v>71900</v>
      </c>
      <c r="M57" s="95">
        <f t="shared" si="5"/>
        <v>82900</v>
      </c>
      <c r="N57" s="95">
        <f t="shared" si="5"/>
        <v>55.721972969421479</v>
      </c>
      <c r="O57" s="95">
        <v>7810000</v>
      </c>
    </row>
    <row r="58" spans="1:15" x14ac:dyDescent="0.45">
      <c r="A58" s="96" t="str">
        <f t="shared" si="1"/>
        <v>SHS 140x140x4</v>
      </c>
      <c r="B58" s="96">
        <v>16.760000000000002</v>
      </c>
      <c r="C58" s="96">
        <v>140</v>
      </c>
      <c r="D58" s="96">
        <v>140</v>
      </c>
      <c r="E58" s="96">
        <v>4</v>
      </c>
      <c r="F58" s="96">
        <v>2135</v>
      </c>
      <c r="G58" s="96">
        <v>6515900</v>
      </c>
      <c r="H58" s="96">
        <v>93080</v>
      </c>
      <c r="I58" s="96">
        <v>108150</v>
      </c>
      <c r="J58" s="96">
        <f t="shared" si="2"/>
        <v>55.244400566129841</v>
      </c>
      <c r="K58" s="96">
        <f t="shared" si="5"/>
        <v>6515900</v>
      </c>
      <c r="L58" s="96">
        <f t="shared" si="5"/>
        <v>93080</v>
      </c>
      <c r="M58" s="96">
        <f t="shared" si="5"/>
        <v>108150</v>
      </c>
      <c r="N58" s="96">
        <f t="shared" si="5"/>
        <v>55.244400566129841</v>
      </c>
      <c r="O58" s="96">
        <v>10233200</v>
      </c>
    </row>
    <row r="59" spans="1:15" x14ac:dyDescent="0.45">
      <c r="A59" s="95" t="str">
        <f t="shared" si="1"/>
        <v>SHS 140x140x5</v>
      </c>
      <c r="B59" s="95">
        <v>20.69</v>
      </c>
      <c r="C59" s="95">
        <v>140</v>
      </c>
      <c r="D59" s="95">
        <v>140</v>
      </c>
      <c r="E59" s="95">
        <v>5</v>
      </c>
      <c r="F59" s="95">
        <v>2636</v>
      </c>
      <c r="G59" s="95">
        <v>7905200</v>
      </c>
      <c r="H59" s="95">
        <v>112930</v>
      </c>
      <c r="I59" s="95">
        <v>132300</v>
      </c>
      <c r="J59" s="95">
        <f t="shared" si="2"/>
        <v>54.762558235732584</v>
      </c>
      <c r="K59" s="95">
        <f t="shared" ref="K59:N84" si="6">G59</f>
        <v>7905200</v>
      </c>
      <c r="L59" s="95">
        <f t="shared" si="6"/>
        <v>112930</v>
      </c>
      <c r="M59" s="95">
        <f t="shared" si="6"/>
        <v>132300</v>
      </c>
      <c r="N59" s="95">
        <f t="shared" si="6"/>
        <v>54.762558235732584</v>
      </c>
      <c r="O59" s="95">
        <v>12557600</v>
      </c>
    </row>
    <row r="60" spans="1:15" x14ac:dyDescent="0.45">
      <c r="A60" s="96" t="str">
        <f t="shared" si="1"/>
        <v>SHS 140x140x6</v>
      </c>
      <c r="B60" s="96">
        <v>24.52</v>
      </c>
      <c r="C60" s="96">
        <v>140</v>
      </c>
      <c r="D60" s="96">
        <v>140</v>
      </c>
      <c r="E60" s="96">
        <v>6</v>
      </c>
      <c r="F60" s="96">
        <v>3123</v>
      </c>
      <c r="G60" s="96">
        <v>9203800</v>
      </c>
      <c r="H60" s="96">
        <v>131480</v>
      </c>
      <c r="I60" s="96">
        <v>155320</v>
      </c>
      <c r="J60" s="96">
        <f t="shared" si="2"/>
        <v>54.287218987281328</v>
      </c>
      <c r="K60" s="96">
        <f t="shared" si="6"/>
        <v>9203800</v>
      </c>
      <c r="L60" s="96">
        <f t="shared" si="6"/>
        <v>131480</v>
      </c>
      <c r="M60" s="96">
        <f t="shared" si="6"/>
        <v>155320</v>
      </c>
      <c r="N60" s="96">
        <f t="shared" si="6"/>
        <v>54.287218987281328</v>
      </c>
      <c r="O60" s="96">
        <v>14787700</v>
      </c>
    </row>
    <row r="61" spans="1:15" x14ac:dyDescent="0.45">
      <c r="A61" s="95" t="str">
        <f t="shared" si="1"/>
        <v>SHS 150x150x3</v>
      </c>
      <c r="B61" s="95">
        <v>13.7</v>
      </c>
      <c r="C61" s="95">
        <v>150</v>
      </c>
      <c r="D61" s="95">
        <v>150</v>
      </c>
      <c r="E61" s="95">
        <v>3</v>
      </c>
      <c r="F61" s="95">
        <v>1739.9999999999998</v>
      </c>
      <c r="G61" s="95">
        <v>6230000</v>
      </c>
      <c r="H61" s="95">
        <v>83000</v>
      </c>
      <c r="I61" s="95">
        <v>95500</v>
      </c>
      <c r="J61" s="95">
        <f t="shared" si="2"/>
        <v>59.836943188259063</v>
      </c>
      <c r="K61" s="95">
        <f t="shared" si="6"/>
        <v>6230000</v>
      </c>
      <c r="L61" s="95">
        <f t="shared" si="6"/>
        <v>83000</v>
      </c>
      <c r="M61" s="95">
        <f t="shared" si="6"/>
        <v>95500</v>
      </c>
      <c r="N61" s="95">
        <f t="shared" si="6"/>
        <v>59.836943188259063</v>
      </c>
      <c r="O61" s="95">
        <v>9650000</v>
      </c>
    </row>
    <row r="62" spans="1:15" x14ac:dyDescent="0.45">
      <c r="A62" s="96" t="str">
        <f t="shared" si="1"/>
        <v>SHS 150x150x4</v>
      </c>
      <c r="B62" s="96">
        <v>18.010000000000002</v>
      </c>
      <c r="C62" s="96">
        <v>150</v>
      </c>
      <c r="D62" s="96">
        <v>150</v>
      </c>
      <c r="E62" s="96">
        <v>4</v>
      </c>
      <c r="F62" s="96">
        <v>2295</v>
      </c>
      <c r="G62" s="96">
        <v>8077800</v>
      </c>
      <c r="H62" s="96">
        <v>107700</v>
      </c>
      <c r="I62" s="96">
        <v>124860</v>
      </c>
      <c r="J62" s="96">
        <f t="shared" si="2"/>
        <v>59.327384588329053</v>
      </c>
      <c r="K62" s="96">
        <f t="shared" si="6"/>
        <v>8077800</v>
      </c>
      <c r="L62" s="96">
        <f t="shared" si="6"/>
        <v>107700</v>
      </c>
      <c r="M62" s="96">
        <f t="shared" si="6"/>
        <v>124860</v>
      </c>
      <c r="N62" s="96">
        <f t="shared" si="6"/>
        <v>59.327384588329053</v>
      </c>
      <c r="O62" s="96">
        <v>12647600</v>
      </c>
    </row>
    <row r="63" spans="1:15" x14ac:dyDescent="0.45">
      <c r="A63" s="95" t="str">
        <f t="shared" si="1"/>
        <v>SHS 150x150x5</v>
      </c>
      <c r="B63" s="95">
        <v>22.26</v>
      </c>
      <c r="C63" s="95">
        <v>150</v>
      </c>
      <c r="D63" s="95">
        <v>150</v>
      </c>
      <c r="E63" s="95">
        <v>5</v>
      </c>
      <c r="F63" s="95">
        <v>2836</v>
      </c>
      <c r="G63" s="95">
        <v>9820700</v>
      </c>
      <c r="H63" s="95">
        <v>130940</v>
      </c>
      <c r="I63" s="95">
        <v>152970</v>
      </c>
      <c r="J63" s="95">
        <f t="shared" si="2"/>
        <v>58.846157391747596</v>
      </c>
      <c r="K63" s="95">
        <f t="shared" si="6"/>
        <v>9820700</v>
      </c>
      <c r="L63" s="95">
        <f t="shared" si="6"/>
        <v>130940</v>
      </c>
      <c r="M63" s="95">
        <f t="shared" si="6"/>
        <v>152970</v>
      </c>
      <c r="N63" s="95">
        <f t="shared" si="6"/>
        <v>58.846157391747596</v>
      </c>
      <c r="O63" s="95">
        <v>15541300.000000002</v>
      </c>
    </row>
    <row r="64" spans="1:15" x14ac:dyDescent="0.45">
      <c r="A64" s="96" t="str">
        <f t="shared" si="1"/>
        <v>SHS 150x150x6</v>
      </c>
      <c r="B64" s="96">
        <v>26.4</v>
      </c>
      <c r="C64" s="96">
        <v>150</v>
      </c>
      <c r="D64" s="96">
        <v>150</v>
      </c>
      <c r="E64" s="96">
        <v>6</v>
      </c>
      <c r="F64" s="96">
        <v>3363.0000000000005</v>
      </c>
      <c r="G64" s="96">
        <v>11458400</v>
      </c>
      <c r="H64" s="96">
        <v>152780</v>
      </c>
      <c r="I64" s="96">
        <v>179870</v>
      </c>
      <c r="J64" s="96">
        <f t="shared" si="2"/>
        <v>58.371191147617274</v>
      </c>
      <c r="K64" s="96">
        <f t="shared" si="6"/>
        <v>11458400</v>
      </c>
      <c r="L64" s="96">
        <f t="shared" si="6"/>
        <v>152780</v>
      </c>
      <c r="M64" s="96">
        <f t="shared" si="6"/>
        <v>179870</v>
      </c>
      <c r="N64" s="96">
        <f t="shared" si="6"/>
        <v>58.371191147617274</v>
      </c>
      <c r="O64" s="96">
        <v>18326900</v>
      </c>
    </row>
    <row r="65" spans="1:15" x14ac:dyDescent="0.45">
      <c r="A65" s="95" t="str">
        <f t="shared" si="1"/>
        <v>SHS 160x160x4</v>
      </c>
      <c r="B65" s="95">
        <v>19.27</v>
      </c>
      <c r="C65" s="95">
        <v>160</v>
      </c>
      <c r="D65" s="95">
        <v>160</v>
      </c>
      <c r="E65" s="95">
        <v>4</v>
      </c>
      <c r="F65" s="95">
        <v>2455</v>
      </c>
      <c r="G65" s="95">
        <v>9871300</v>
      </c>
      <c r="H65" s="95">
        <v>123390</v>
      </c>
      <c r="I65" s="95">
        <v>142780</v>
      </c>
      <c r="J65" s="95">
        <f t="shared" si="2"/>
        <v>63.410536430046321</v>
      </c>
      <c r="K65" s="95">
        <f t="shared" si="6"/>
        <v>9871300</v>
      </c>
      <c r="L65" s="95">
        <f t="shared" si="6"/>
        <v>123390</v>
      </c>
      <c r="M65" s="95">
        <f t="shared" si="6"/>
        <v>142780</v>
      </c>
      <c r="N65" s="95">
        <f t="shared" si="6"/>
        <v>63.410536430046321</v>
      </c>
      <c r="O65" s="95">
        <v>15414500</v>
      </c>
    </row>
    <row r="66" spans="1:15" x14ac:dyDescent="0.45">
      <c r="A66" s="96" t="str">
        <f t="shared" si="1"/>
        <v>SHS 160x160x5</v>
      </c>
      <c r="B66" s="96">
        <v>23.83</v>
      </c>
      <c r="C66" s="96">
        <v>160</v>
      </c>
      <c r="D66" s="96">
        <v>160</v>
      </c>
      <c r="E66" s="96">
        <v>5</v>
      </c>
      <c r="F66" s="96">
        <v>3036</v>
      </c>
      <c r="G66" s="96">
        <v>12023000</v>
      </c>
      <c r="H66" s="96">
        <v>150290</v>
      </c>
      <c r="I66" s="96">
        <v>175150</v>
      </c>
      <c r="J66" s="96">
        <f t="shared" si="2"/>
        <v>62.92968240453969</v>
      </c>
      <c r="K66" s="96">
        <f t="shared" si="6"/>
        <v>12023000</v>
      </c>
      <c r="L66" s="96">
        <f t="shared" si="6"/>
        <v>150290</v>
      </c>
      <c r="M66" s="96">
        <f t="shared" si="6"/>
        <v>175150</v>
      </c>
      <c r="N66" s="96">
        <f t="shared" si="6"/>
        <v>62.92968240453969</v>
      </c>
      <c r="O66" s="96">
        <v>18963200</v>
      </c>
    </row>
    <row r="67" spans="1:15" x14ac:dyDescent="0.45">
      <c r="A67" s="95" t="str">
        <f t="shared" si="1"/>
        <v>SHS 160x160x6</v>
      </c>
      <c r="B67" s="95">
        <v>28.28</v>
      </c>
      <c r="C67" s="95">
        <v>160</v>
      </c>
      <c r="D67" s="95">
        <v>160</v>
      </c>
      <c r="E67" s="95">
        <v>6</v>
      </c>
      <c r="F67" s="95">
        <v>3603</v>
      </c>
      <c r="G67" s="95">
        <v>14054100</v>
      </c>
      <c r="H67" s="95">
        <v>175680</v>
      </c>
      <c r="I67" s="95">
        <v>206230</v>
      </c>
      <c r="J67" s="95">
        <f t="shared" si="2"/>
        <v>62.45531291710649</v>
      </c>
      <c r="K67" s="95">
        <f t="shared" si="6"/>
        <v>14054100</v>
      </c>
      <c r="L67" s="95">
        <f t="shared" si="6"/>
        <v>175680</v>
      </c>
      <c r="M67" s="95">
        <f t="shared" si="6"/>
        <v>206230</v>
      </c>
      <c r="N67" s="95">
        <f t="shared" si="6"/>
        <v>62.45531291710649</v>
      </c>
      <c r="O67" s="95">
        <v>22389000</v>
      </c>
    </row>
    <row r="68" spans="1:15" x14ac:dyDescent="0.45">
      <c r="A68" s="96" t="str">
        <f t="shared" ref="A68:A84" si="7">"SHS "&amp;C68&amp;"x"&amp;D68&amp;"x"&amp;E68</f>
        <v>SHS 180x180x4</v>
      </c>
      <c r="B68" s="96">
        <v>21.78</v>
      </c>
      <c r="C68" s="96">
        <v>180</v>
      </c>
      <c r="D68" s="96">
        <v>180</v>
      </c>
      <c r="E68" s="96">
        <v>4</v>
      </c>
      <c r="F68" s="96">
        <v>2775</v>
      </c>
      <c r="G68" s="96">
        <v>14216900</v>
      </c>
      <c r="H68" s="96">
        <v>157970</v>
      </c>
      <c r="I68" s="96">
        <v>182200</v>
      </c>
      <c r="J68" s="96">
        <f t="shared" ref="J68:J84" si="8">SQRT(G68/F68)</f>
        <v>71.576582813146416</v>
      </c>
      <c r="K68" s="96">
        <f t="shared" si="6"/>
        <v>14216900</v>
      </c>
      <c r="L68" s="96">
        <f t="shared" si="6"/>
        <v>157970</v>
      </c>
      <c r="M68" s="96">
        <f t="shared" si="6"/>
        <v>182200</v>
      </c>
      <c r="N68" s="96">
        <f t="shared" si="6"/>
        <v>71.576582813146416</v>
      </c>
      <c r="O68" s="96">
        <v>22101600</v>
      </c>
    </row>
    <row r="69" spans="1:15" x14ac:dyDescent="0.45">
      <c r="A69" s="95" t="str">
        <f t="shared" si="7"/>
        <v>SHS 180x180x5</v>
      </c>
      <c r="B69" s="95">
        <v>26.97</v>
      </c>
      <c r="C69" s="95">
        <v>180</v>
      </c>
      <c r="D69" s="95">
        <v>180</v>
      </c>
      <c r="E69" s="95">
        <v>5</v>
      </c>
      <c r="F69" s="95">
        <v>3436</v>
      </c>
      <c r="G69" s="95">
        <v>17367900</v>
      </c>
      <c r="H69" s="95">
        <v>192980</v>
      </c>
      <c r="I69" s="95">
        <v>224010</v>
      </c>
      <c r="J69" s="95">
        <f t="shared" si="8"/>
        <v>71.096312710466549</v>
      </c>
      <c r="K69" s="95">
        <f t="shared" si="6"/>
        <v>17367900</v>
      </c>
      <c r="L69" s="95">
        <f t="shared" si="6"/>
        <v>192980</v>
      </c>
      <c r="M69" s="95">
        <f t="shared" si="6"/>
        <v>224010</v>
      </c>
      <c r="N69" s="95">
        <f t="shared" si="6"/>
        <v>71.096312710466549</v>
      </c>
      <c r="O69" s="95">
        <v>27241600</v>
      </c>
    </row>
    <row r="70" spans="1:15" x14ac:dyDescent="0.45">
      <c r="A70" s="96" t="str">
        <f t="shared" si="7"/>
        <v>SHS 180x180x6</v>
      </c>
      <c r="B70" s="96">
        <v>32.049999999999997</v>
      </c>
      <c r="C70" s="96">
        <v>180</v>
      </c>
      <c r="D70" s="96">
        <v>180</v>
      </c>
      <c r="E70" s="96">
        <v>6</v>
      </c>
      <c r="F70" s="96">
        <v>4083</v>
      </c>
      <c r="G70" s="96">
        <v>20364200</v>
      </c>
      <c r="H70" s="96">
        <v>226270</v>
      </c>
      <c r="I70" s="96">
        <v>264340</v>
      </c>
      <c r="J70" s="96">
        <f t="shared" si="8"/>
        <v>70.622646282999867</v>
      </c>
      <c r="K70" s="96">
        <f t="shared" si="6"/>
        <v>20364200</v>
      </c>
      <c r="L70" s="96">
        <f t="shared" si="6"/>
        <v>226270</v>
      </c>
      <c r="M70" s="96">
        <f t="shared" si="6"/>
        <v>264340</v>
      </c>
      <c r="N70" s="96">
        <f t="shared" si="6"/>
        <v>70.622646282999867</v>
      </c>
      <c r="O70" s="96">
        <v>32226500</v>
      </c>
    </row>
    <row r="71" spans="1:15" x14ac:dyDescent="0.45">
      <c r="A71" s="95" t="str">
        <f t="shared" si="7"/>
        <v>SHS 180x180x8</v>
      </c>
      <c r="B71" s="95">
        <v>41.48</v>
      </c>
      <c r="C71" s="95">
        <v>180</v>
      </c>
      <c r="D71" s="95">
        <v>180</v>
      </c>
      <c r="E71" s="95">
        <v>8</v>
      </c>
      <c r="F71" s="95">
        <v>5284</v>
      </c>
      <c r="G71" s="95">
        <v>25457399.999999996</v>
      </c>
      <c r="H71" s="95">
        <v>282860</v>
      </c>
      <c r="I71" s="95">
        <v>335670</v>
      </c>
      <c r="J71" s="95">
        <f t="shared" si="8"/>
        <v>69.410571266070193</v>
      </c>
      <c r="K71" s="95">
        <f t="shared" si="6"/>
        <v>25457399.999999996</v>
      </c>
      <c r="L71" s="95">
        <f t="shared" si="6"/>
        <v>282860</v>
      </c>
      <c r="M71" s="95">
        <f t="shared" si="6"/>
        <v>335670</v>
      </c>
      <c r="N71" s="95">
        <f t="shared" si="6"/>
        <v>69.410571266070193</v>
      </c>
      <c r="O71" s="95">
        <v>41885600.000000007</v>
      </c>
    </row>
    <row r="72" spans="1:15" x14ac:dyDescent="0.45">
      <c r="A72" s="96" t="str">
        <f t="shared" si="7"/>
        <v>SHS 200x200x4</v>
      </c>
      <c r="B72" s="96">
        <v>24.29</v>
      </c>
      <c r="C72" s="96">
        <v>200</v>
      </c>
      <c r="D72" s="96">
        <v>200</v>
      </c>
      <c r="E72" s="96">
        <v>4</v>
      </c>
      <c r="F72" s="96">
        <v>3095</v>
      </c>
      <c r="G72" s="96">
        <v>19680700</v>
      </c>
      <c r="H72" s="96">
        <v>240000</v>
      </c>
      <c r="I72" s="96">
        <v>275000</v>
      </c>
      <c r="J72" s="96">
        <f t="shared" si="8"/>
        <v>79.742517791829798</v>
      </c>
      <c r="K72" s="96">
        <f t="shared" si="6"/>
        <v>19680700</v>
      </c>
      <c r="L72" s="96">
        <f t="shared" si="6"/>
        <v>240000</v>
      </c>
      <c r="M72" s="96">
        <f t="shared" si="6"/>
        <v>275000</v>
      </c>
      <c r="N72" s="96">
        <f t="shared" si="6"/>
        <v>79.742517791829798</v>
      </c>
      <c r="O72" s="96">
        <v>40760000</v>
      </c>
    </row>
    <row r="73" spans="1:15" x14ac:dyDescent="0.45">
      <c r="A73" s="95" t="str">
        <f t="shared" si="7"/>
        <v>SHS 200x200x5</v>
      </c>
      <c r="B73" s="95">
        <v>30.11</v>
      </c>
      <c r="C73" s="95">
        <v>200</v>
      </c>
      <c r="D73" s="95">
        <v>200</v>
      </c>
      <c r="E73" s="95">
        <v>5</v>
      </c>
      <c r="F73" s="95">
        <v>3836</v>
      </c>
      <c r="G73" s="95">
        <v>24099899.999999996</v>
      </c>
      <c r="H73" s="95">
        <v>196810</v>
      </c>
      <c r="I73" s="95">
        <v>226430</v>
      </c>
      <c r="J73" s="95">
        <f t="shared" si="8"/>
        <v>79.262601258663494</v>
      </c>
      <c r="K73" s="95">
        <f t="shared" si="6"/>
        <v>24099899.999999996</v>
      </c>
      <c r="L73" s="95">
        <f t="shared" si="6"/>
        <v>196810</v>
      </c>
      <c r="M73" s="95">
        <f t="shared" si="6"/>
        <v>226430</v>
      </c>
      <c r="N73" s="95">
        <f t="shared" si="6"/>
        <v>79.262601258663494</v>
      </c>
      <c r="O73" s="95">
        <v>30486600</v>
      </c>
    </row>
    <row r="74" spans="1:15" x14ac:dyDescent="0.45">
      <c r="A74" s="96" t="str">
        <f t="shared" si="7"/>
        <v>SHS 200x200x6</v>
      </c>
      <c r="B74" s="96">
        <v>35.82</v>
      </c>
      <c r="C74" s="96">
        <v>200</v>
      </c>
      <c r="D74" s="96">
        <v>200</v>
      </c>
      <c r="E74" s="96">
        <v>6</v>
      </c>
      <c r="F74" s="96">
        <v>4563</v>
      </c>
      <c r="G74" s="96">
        <v>28326200</v>
      </c>
      <c r="H74" s="96">
        <v>241000</v>
      </c>
      <c r="I74" s="96">
        <v>278860</v>
      </c>
      <c r="J74" s="96">
        <f t="shared" si="8"/>
        <v>78.789605181933496</v>
      </c>
      <c r="K74" s="96">
        <f t="shared" si="6"/>
        <v>28326200</v>
      </c>
      <c r="L74" s="96">
        <f t="shared" si="6"/>
        <v>241000</v>
      </c>
      <c r="M74" s="96">
        <f t="shared" si="6"/>
        <v>278860</v>
      </c>
      <c r="N74" s="96">
        <f t="shared" si="6"/>
        <v>78.789605181933496</v>
      </c>
      <c r="O74" s="96">
        <v>37633000</v>
      </c>
    </row>
    <row r="75" spans="1:15" x14ac:dyDescent="0.45">
      <c r="A75" s="95" t="str">
        <f t="shared" si="7"/>
        <v>SHS 220x220x4</v>
      </c>
      <c r="B75" s="95">
        <v>26.8</v>
      </c>
      <c r="C75" s="95">
        <v>220</v>
      </c>
      <c r="D75" s="95">
        <v>220</v>
      </c>
      <c r="E75" s="95">
        <v>4</v>
      </c>
      <c r="F75" s="95">
        <v>3410</v>
      </c>
      <c r="G75" s="95">
        <v>26390000</v>
      </c>
      <c r="H75" s="95">
        <v>283260</v>
      </c>
      <c r="I75" s="95">
        <v>329650</v>
      </c>
      <c r="J75" s="95">
        <f t="shared" si="8"/>
        <v>87.971602989551798</v>
      </c>
      <c r="K75" s="95">
        <f t="shared" si="6"/>
        <v>26390000</v>
      </c>
      <c r="L75" s="95">
        <f t="shared" si="6"/>
        <v>283260</v>
      </c>
      <c r="M75" s="95">
        <f t="shared" si="6"/>
        <v>329650</v>
      </c>
      <c r="N75" s="95">
        <f t="shared" si="6"/>
        <v>87.971602989551798</v>
      </c>
      <c r="O75" s="95">
        <v>44588100.000000007</v>
      </c>
    </row>
    <row r="76" spans="1:15" x14ac:dyDescent="0.45">
      <c r="A76" s="96" t="str">
        <f t="shared" si="7"/>
        <v>SHS 250x250x4</v>
      </c>
      <c r="B76" s="96">
        <v>30.6</v>
      </c>
      <c r="C76" s="96">
        <v>250</v>
      </c>
      <c r="D76" s="96">
        <v>250</v>
      </c>
      <c r="E76" s="96">
        <v>4</v>
      </c>
      <c r="F76" s="96">
        <v>3890</v>
      </c>
      <c r="G76" s="96">
        <v>39070000</v>
      </c>
      <c r="H76" s="96">
        <v>313000</v>
      </c>
      <c r="I76" s="96">
        <v>358000</v>
      </c>
      <c r="J76" s="96">
        <f t="shared" si="8"/>
        <v>100.21827078674757</v>
      </c>
      <c r="K76" s="96">
        <f t="shared" si="6"/>
        <v>39070000</v>
      </c>
      <c r="L76" s="96">
        <f t="shared" si="6"/>
        <v>313000</v>
      </c>
      <c r="M76" s="96">
        <f t="shared" si="6"/>
        <v>358000</v>
      </c>
      <c r="N76" s="96">
        <f t="shared" si="6"/>
        <v>100.21827078674757</v>
      </c>
      <c r="O76" s="96">
        <v>60140000</v>
      </c>
    </row>
    <row r="77" spans="1:15" x14ac:dyDescent="0.45">
      <c r="A77" s="95" t="str">
        <f t="shared" si="7"/>
        <v>SHS 260x260x4</v>
      </c>
      <c r="B77" s="95">
        <v>31.8</v>
      </c>
      <c r="C77" s="95">
        <v>260</v>
      </c>
      <c r="D77" s="95">
        <v>260</v>
      </c>
      <c r="E77" s="95">
        <v>4</v>
      </c>
      <c r="F77" s="95">
        <v>4050</v>
      </c>
      <c r="G77" s="95">
        <v>44060000</v>
      </c>
      <c r="H77" s="95">
        <v>339000</v>
      </c>
      <c r="I77" s="95">
        <v>388000</v>
      </c>
      <c r="J77" s="95">
        <f t="shared" si="8"/>
        <v>104.30250402401187</v>
      </c>
      <c r="K77" s="95">
        <f t="shared" si="6"/>
        <v>44060000</v>
      </c>
      <c r="L77" s="95">
        <f t="shared" si="6"/>
        <v>339000</v>
      </c>
      <c r="M77" s="95">
        <f t="shared" si="6"/>
        <v>388000</v>
      </c>
      <c r="N77" s="95">
        <f t="shared" si="6"/>
        <v>104.30250402401187</v>
      </c>
      <c r="O77" s="95">
        <v>67750000</v>
      </c>
    </row>
    <row r="78" spans="1:15" x14ac:dyDescent="0.45">
      <c r="A78" s="96" t="str">
        <f t="shared" si="7"/>
        <v>SHS 260x260x5</v>
      </c>
      <c r="B78" s="96">
        <v>39.5</v>
      </c>
      <c r="C78" s="96">
        <v>260</v>
      </c>
      <c r="D78" s="96">
        <v>260</v>
      </c>
      <c r="E78" s="96">
        <v>5</v>
      </c>
      <c r="F78" s="96">
        <v>5050</v>
      </c>
      <c r="G78" s="96">
        <v>54220000</v>
      </c>
      <c r="H78" s="96">
        <v>417000</v>
      </c>
      <c r="I78" s="96">
        <v>479000</v>
      </c>
      <c r="J78" s="96">
        <f t="shared" si="8"/>
        <v>103.61772851865811</v>
      </c>
      <c r="K78" s="96">
        <f t="shared" si="6"/>
        <v>54220000</v>
      </c>
      <c r="L78" s="96">
        <f t="shared" si="6"/>
        <v>417000</v>
      </c>
      <c r="M78" s="96">
        <f t="shared" si="6"/>
        <v>479000</v>
      </c>
      <c r="N78" s="96">
        <f t="shared" si="6"/>
        <v>103.61772851865811</v>
      </c>
      <c r="O78" s="96">
        <v>83880000</v>
      </c>
    </row>
    <row r="79" spans="1:15" x14ac:dyDescent="0.45">
      <c r="A79" s="95" t="str">
        <f t="shared" si="7"/>
        <v>SHS 300x300x5</v>
      </c>
      <c r="B79" s="95">
        <v>45.8</v>
      </c>
      <c r="C79" s="95">
        <v>300</v>
      </c>
      <c r="D79" s="95">
        <v>300</v>
      </c>
      <c r="E79" s="95">
        <v>5</v>
      </c>
      <c r="F79" s="95">
        <v>5840</v>
      </c>
      <c r="G79" s="95">
        <v>84170000</v>
      </c>
      <c r="H79" s="95">
        <v>561000</v>
      </c>
      <c r="I79" s="95">
        <v>643000</v>
      </c>
      <c r="J79" s="95">
        <f t="shared" si="8"/>
        <v>120.05278519416662</v>
      </c>
      <c r="K79" s="95">
        <f t="shared" si="6"/>
        <v>84170000</v>
      </c>
      <c r="L79" s="95">
        <f t="shared" si="6"/>
        <v>561000</v>
      </c>
      <c r="M79" s="95">
        <f t="shared" si="6"/>
        <v>643000</v>
      </c>
      <c r="N79" s="95">
        <f t="shared" si="6"/>
        <v>120.05278519416662</v>
      </c>
      <c r="O79" s="95">
        <v>129680000</v>
      </c>
    </row>
    <row r="80" spans="1:15" x14ac:dyDescent="0.45">
      <c r="A80" s="96" t="str">
        <f t="shared" si="7"/>
        <v>SHS 325x325x5</v>
      </c>
      <c r="B80" s="96">
        <v>49.7</v>
      </c>
      <c r="C80" s="96">
        <v>325</v>
      </c>
      <c r="D80" s="96">
        <v>325</v>
      </c>
      <c r="E80" s="96">
        <v>5</v>
      </c>
      <c r="F80" s="96">
        <v>6340</v>
      </c>
      <c r="G80" s="96">
        <v>107570000</v>
      </c>
      <c r="H80" s="96">
        <v>662000</v>
      </c>
      <c r="I80" s="96">
        <v>758000</v>
      </c>
      <c r="J80" s="96">
        <f t="shared" si="8"/>
        <v>130.25696515583661</v>
      </c>
      <c r="K80" s="96">
        <f t="shared" si="6"/>
        <v>107570000</v>
      </c>
      <c r="L80" s="96">
        <f t="shared" si="6"/>
        <v>662000</v>
      </c>
      <c r="M80" s="96">
        <f t="shared" si="6"/>
        <v>758000</v>
      </c>
      <c r="N80" s="96">
        <f t="shared" si="6"/>
        <v>130.25696515583661</v>
      </c>
      <c r="O80" s="96">
        <v>165400000</v>
      </c>
    </row>
    <row r="81" spans="1:15" x14ac:dyDescent="0.45">
      <c r="A81" s="95" t="str">
        <f t="shared" si="7"/>
        <v>SHS 325x325x6</v>
      </c>
      <c r="B81" s="95">
        <v>59.4</v>
      </c>
      <c r="C81" s="95">
        <v>325</v>
      </c>
      <c r="D81" s="95">
        <v>325</v>
      </c>
      <c r="E81" s="95">
        <v>6</v>
      </c>
      <c r="F81" s="95">
        <v>7559.9999999999991</v>
      </c>
      <c r="G81" s="95">
        <v>127480000</v>
      </c>
      <c r="H81" s="95">
        <v>784000</v>
      </c>
      <c r="I81" s="95">
        <v>901000</v>
      </c>
      <c r="J81" s="95">
        <f t="shared" si="8"/>
        <v>129.85543447400985</v>
      </c>
      <c r="K81" s="95">
        <f t="shared" si="6"/>
        <v>127480000</v>
      </c>
      <c r="L81" s="95">
        <f t="shared" si="6"/>
        <v>784000</v>
      </c>
      <c r="M81" s="95">
        <f t="shared" si="6"/>
        <v>901000</v>
      </c>
      <c r="N81" s="95">
        <f t="shared" si="6"/>
        <v>129.85543447400985</v>
      </c>
      <c r="O81" s="95">
        <v>196980000</v>
      </c>
    </row>
    <row r="82" spans="1:15" x14ac:dyDescent="0.45">
      <c r="A82" s="96" t="str">
        <f t="shared" si="7"/>
        <v>SHS 325x325x8</v>
      </c>
      <c r="B82" s="96">
        <v>77.900000000000006</v>
      </c>
      <c r="C82" s="96">
        <v>325</v>
      </c>
      <c r="D82" s="96">
        <v>325</v>
      </c>
      <c r="E82" s="96">
        <v>8</v>
      </c>
      <c r="F82" s="96">
        <v>9920</v>
      </c>
      <c r="G82" s="96">
        <v>164270000</v>
      </c>
      <c r="H82" s="96">
        <v>1011000</v>
      </c>
      <c r="I82" s="96">
        <v>1171000</v>
      </c>
      <c r="J82" s="96">
        <f t="shared" si="8"/>
        <v>128.68362680019402</v>
      </c>
      <c r="K82" s="96">
        <f t="shared" si="6"/>
        <v>164270000</v>
      </c>
      <c r="L82" s="96">
        <f t="shared" si="6"/>
        <v>1011000</v>
      </c>
      <c r="M82" s="96">
        <f t="shared" si="6"/>
        <v>1171000</v>
      </c>
      <c r="N82" s="96">
        <f t="shared" si="6"/>
        <v>128.68362680019402</v>
      </c>
      <c r="O82" s="96">
        <v>259560000</v>
      </c>
    </row>
    <row r="83" spans="1:15" x14ac:dyDescent="0.45">
      <c r="A83" s="95" t="str">
        <f t="shared" si="7"/>
        <v>SHS 325x325x10</v>
      </c>
      <c r="B83" s="95">
        <v>96.2</v>
      </c>
      <c r="C83" s="95">
        <v>325</v>
      </c>
      <c r="D83" s="95">
        <v>325</v>
      </c>
      <c r="E83" s="95">
        <v>10</v>
      </c>
      <c r="F83" s="95">
        <v>12300</v>
      </c>
      <c r="G83" s="95">
        <v>199660000</v>
      </c>
      <c r="H83" s="95">
        <v>1229000</v>
      </c>
      <c r="I83" s="95">
        <v>1433000</v>
      </c>
      <c r="J83" s="95">
        <f t="shared" si="8"/>
        <v>127.40690846733254</v>
      </c>
      <c r="K83" s="95">
        <f t="shared" si="6"/>
        <v>199660000</v>
      </c>
      <c r="L83" s="95">
        <f t="shared" si="6"/>
        <v>1229000</v>
      </c>
      <c r="M83" s="95">
        <f t="shared" si="6"/>
        <v>1433000</v>
      </c>
      <c r="N83" s="95">
        <f t="shared" si="6"/>
        <v>127.40690846733254</v>
      </c>
      <c r="O83" s="95">
        <v>319500000</v>
      </c>
    </row>
    <row r="84" spans="1:15" x14ac:dyDescent="0.45">
      <c r="A84" s="96" t="str">
        <f t="shared" si="7"/>
        <v>SHS 400x400x8</v>
      </c>
      <c r="B84" s="96">
        <v>96.7</v>
      </c>
      <c r="C84" s="96">
        <v>400</v>
      </c>
      <c r="D84" s="96">
        <v>400</v>
      </c>
      <c r="E84" s="96">
        <v>8</v>
      </c>
      <c r="F84" s="96">
        <v>12300</v>
      </c>
      <c r="G84" s="96">
        <v>312690000</v>
      </c>
      <c r="H84" s="96">
        <v>1563000</v>
      </c>
      <c r="I84" s="96">
        <v>1800000</v>
      </c>
      <c r="J84" s="96">
        <f t="shared" si="8"/>
        <v>159.44262673297939</v>
      </c>
      <c r="K84" s="96">
        <f t="shared" si="6"/>
        <v>312690000</v>
      </c>
      <c r="L84" s="96">
        <f t="shared" si="6"/>
        <v>1563000</v>
      </c>
      <c r="M84" s="96">
        <f t="shared" si="6"/>
        <v>1800000</v>
      </c>
      <c r="N84" s="96">
        <f>J84</f>
        <v>159.44262673297939</v>
      </c>
      <c r="O84" s="96">
        <v>489340000</v>
      </c>
    </row>
    <row r="85" spans="1:15" x14ac:dyDescent="0.45">
      <c r="A85" s="95" t="str">
        <f>"RHS "&amp;C85&amp;"x"&amp;D85&amp;"x"&amp;E85</f>
        <v>RHS 30x20x2</v>
      </c>
      <c r="B85" s="95">
        <v>1.36</v>
      </c>
      <c r="C85" s="95">
        <v>30</v>
      </c>
      <c r="D85" s="95">
        <v>20</v>
      </c>
      <c r="E85" s="95">
        <v>2</v>
      </c>
      <c r="F85" s="95">
        <v>174</v>
      </c>
      <c r="G85" s="95">
        <v>19400</v>
      </c>
      <c r="H85" s="95">
        <v>1290</v>
      </c>
      <c r="I85" s="95">
        <v>1650</v>
      </c>
      <c r="J85" s="95">
        <f>SQRT(G85/F85)</f>
        <v>10.559083903140614</v>
      </c>
      <c r="K85" s="95">
        <v>10200</v>
      </c>
      <c r="L85" s="95">
        <v>1020</v>
      </c>
      <c r="M85" s="95">
        <v>1240</v>
      </c>
      <c r="N85" s="95">
        <f>SQRT(K85/F85)</f>
        <v>7.6564149348877644</v>
      </c>
      <c r="O85" s="95">
        <v>22900</v>
      </c>
    </row>
    <row r="86" spans="1:15" x14ac:dyDescent="0.45">
      <c r="A86" s="96" t="str">
        <f t="shared" ref="A86:A149" si="9">"RHS "&amp;C86&amp;"x"&amp;D86&amp;"x"&amp;E86</f>
        <v>RHS 35x20x2</v>
      </c>
      <c r="B86" s="96">
        <v>1.52</v>
      </c>
      <c r="C86" s="96">
        <v>35</v>
      </c>
      <c r="D86" s="96">
        <v>20</v>
      </c>
      <c r="E86" s="96">
        <v>2</v>
      </c>
      <c r="F86" s="96">
        <v>194</v>
      </c>
      <c r="G86" s="96">
        <v>28700</v>
      </c>
      <c r="H86" s="96">
        <v>1640</v>
      </c>
      <c r="I86" s="96">
        <v>2100</v>
      </c>
      <c r="J86" s="96">
        <f>SQRT(G86/F86)</f>
        <v>12.162982542530303</v>
      </c>
      <c r="K86" s="96">
        <v>11800</v>
      </c>
      <c r="L86" s="96">
        <v>1180</v>
      </c>
      <c r="M86" s="96">
        <v>1420</v>
      </c>
      <c r="N86" s="96">
        <f t="shared" ref="N86:N115" si="10">SQRT(K86/F86)</f>
        <v>7.7990218789307955</v>
      </c>
      <c r="O86" s="96">
        <v>28700</v>
      </c>
    </row>
    <row r="87" spans="1:15" x14ac:dyDescent="0.45">
      <c r="A87" s="95" t="str">
        <f t="shared" si="9"/>
        <v>RHS 40x20x2</v>
      </c>
      <c r="B87" s="95">
        <v>1.68</v>
      </c>
      <c r="C87" s="95">
        <v>40</v>
      </c>
      <c r="D87" s="95">
        <v>20</v>
      </c>
      <c r="E87" s="95">
        <v>2</v>
      </c>
      <c r="F87" s="95">
        <v>214.00000000000003</v>
      </c>
      <c r="G87" s="95">
        <v>40500</v>
      </c>
      <c r="H87" s="95">
        <v>2020</v>
      </c>
      <c r="I87" s="95">
        <v>2610</v>
      </c>
      <c r="J87" s="95">
        <f>SQRT(G87/F87)</f>
        <v>13.756901411604217</v>
      </c>
      <c r="K87" s="95">
        <v>13400</v>
      </c>
      <c r="L87" s="95">
        <v>1340</v>
      </c>
      <c r="M87" s="95">
        <v>1600</v>
      </c>
      <c r="N87" s="95">
        <f t="shared" si="10"/>
        <v>7.913079200280162</v>
      </c>
      <c r="O87" s="95">
        <v>35000</v>
      </c>
    </row>
    <row r="88" spans="1:15" x14ac:dyDescent="0.45">
      <c r="A88" s="96" t="str">
        <f t="shared" si="9"/>
        <v>RHS 40x20x2,5</v>
      </c>
      <c r="B88" s="96">
        <v>2.0299999999999998</v>
      </c>
      <c r="C88" s="96">
        <v>40</v>
      </c>
      <c r="D88" s="96">
        <v>20</v>
      </c>
      <c r="E88" s="96">
        <v>2.5</v>
      </c>
      <c r="F88" s="96">
        <v>259</v>
      </c>
      <c r="G88" s="96">
        <v>46900.000000000007</v>
      </c>
      <c r="H88" s="96">
        <v>2350</v>
      </c>
      <c r="I88" s="96">
        <v>3090</v>
      </c>
      <c r="J88" s="96">
        <f>SQRT(G88/F88)</f>
        <v>13.456637064329302</v>
      </c>
      <c r="K88" s="96">
        <v>15400</v>
      </c>
      <c r="L88" s="96">
        <v>1540</v>
      </c>
      <c r="M88" s="96">
        <v>1880</v>
      </c>
      <c r="N88" s="96">
        <f t="shared" si="10"/>
        <v>7.7109960095605974</v>
      </c>
      <c r="O88" s="96">
        <v>41000</v>
      </c>
    </row>
    <row r="89" spans="1:15" x14ac:dyDescent="0.45">
      <c r="A89" s="95" t="str">
        <f t="shared" si="9"/>
        <v>RHS 40x27x2</v>
      </c>
      <c r="B89" s="95">
        <v>1.9</v>
      </c>
      <c r="C89" s="95">
        <v>40</v>
      </c>
      <c r="D89" s="95">
        <v>27</v>
      </c>
      <c r="E89" s="95">
        <v>2</v>
      </c>
      <c r="F89" s="95">
        <v>242</v>
      </c>
      <c r="G89" s="95">
        <v>50599.999999999993</v>
      </c>
      <c r="H89" s="95">
        <v>2530</v>
      </c>
      <c r="I89" s="95">
        <v>3150</v>
      </c>
      <c r="J89" s="95">
        <f t="shared" ref="J89:J90" si="11">SQRT(G89/F89)</f>
        <v>14.459976109624423</v>
      </c>
      <c r="K89" s="95">
        <v>27300</v>
      </c>
      <c r="L89" s="95">
        <v>2029.9999999999998</v>
      </c>
      <c r="M89" s="95">
        <v>2390</v>
      </c>
      <c r="N89" s="95">
        <f t="shared" si="10"/>
        <v>10.621201314134474</v>
      </c>
      <c r="O89" s="95">
        <v>59100</v>
      </c>
    </row>
    <row r="90" spans="1:15" x14ac:dyDescent="0.45">
      <c r="A90" s="96" t="str">
        <f t="shared" si="9"/>
        <v>RHS 40x27x2,5</v>
      </c>
      <c r="B90" s="96">
        <v>2.31</v>
      </c>
      <c r="C90" s="96">
        <v>40</v>
      </c>
      <c r="D90" s="96">
        <v>27</v>
      </c>
      <c r="E90" s="96">
        <v>2.5</v>
      </c>
      <c r="F90" s="96">
        <v>294</v>
      </c>
      <c r="G90" s="96">
        <v>59300</v>
      </c>
      <c r="H90" s="96">
        <v>2960</v>
      </c>
      <c r="I90" s="96">
        <v>3750</v>
      </c>
      <c r="J90" s="96">
        <f t="shared" si="11"/>
        <v>14.202136468577848</v>
      </c>
      <c r="K90" s="96">
        <v>31800</v>
      </c>
      <c r="L90" s="96">
        <v>2360</v>
      </c>
      <c r="M90" s="96">
        <v>2850</v>
      </c>
      <c r="N90" s="96">
        <f t="shared" si="10"/>
        <v>10.400156984686454</v>
      </c>
      <c r="O90" s="96">
        <v>70500</v>
      </c>
    </row>
    <row r="91" spans="1:15" x14ac:dyDescent="0.45">
      <c r="A91" s="95" t="str">
        <f t="shared" si="9"/>
        <v>RHS 50x30x2</v>
      </c>
      <c r="B91" s="95">
        <v>2.31</v>
      </c>
      <c r="C91" s="95">
        <v>50</v>
      </c>
      <c r="D91" s="95">
        <v>30</v>
      </c>
      <c r="E91" s="95">
        <v>2</v>
      </c>
      <c r="F91" s="95">
        <v>294</v>
      </c>
      <c r="G91" s="95">
        <v>95399.999999999985</v>
      </c>
      <c r="H91" s="95">
        <v>3810</v>
      </c>
      <c r="I91" s="95">
        <v>4740</v>
      </c>
      <c r="J91" s="95">
        <f t="shared" ref="J91:J93" si="12">SQRT(G91/F91)</f>
        <v>18.013600304169273</v>
      </c>
      <c r="K91" s="95">
        <v>42900</v>
      </c>
      <c r="L91" s="95">
        <v>2860</v>
      </c>
      <c r="M91" s="95">
        <v>3330</v>
      </c>
      <c r="N91" s="95">
        <f t="shared" si="10"/>
        <v>12.079667518062687</v>
      </c>
      <c r="O91" s="95">
        <v>98000</v>
      </c>
    </row>
    <row r="92" spans="1:15" x14ac:dyDescent="0.45">
      <c r="A92" s="96" t="str">
        <f t="shared" si="9"/>
        <v>RHS 50x30x2,5</v>
      </c>
      <c r="B92" s="96">
        <v>2.82</v>
      </c>
      <c r="C92" s="96">
        <v>50</v>
      </c>
      <c r="D92" s="96">
        <v>30</v>
      </c>
      <c r="E92" s="96">
        <v>2.5</v>
      </c>
      <c r="F92" s="96">
        <v>359</v>
      </c>
      <c r="G92" s="96">
        <v>113000</v>
      </c>
      <c r="H92" s="96">
        <v>4520</v>
      </c>
      <c r="I92" s="96">
        <v>5700</v>
      </c>
      <c r="J92" s="96">
        <f t="shared" si="12"/>
        <v>17.741567890064609</v>
      </c>
      <c r="K92" s="96">
        <v>50500</v>
      </c>
      <c r="L92" s="96">
        <v>3370</v>
      </c>
      <c r="M92" s="96">
        <v>3980</v>
      </c>
      <c r="N92" s="96">
        <f t="shared" si="10"/>
        <v>11.860376203008075</v>
      </c>
      <c r="O92" s="96">
        <v>117000</v>
      </c>
    </row>
    <row r="93" spans="1:15" x14ac:dyDescent="0.45">
      <c r="A93" s="95" t="str">
        <f t="shared" si="9"/>
        <v>RHS 50x30x3</v>
      </c>
      <c r="B93" s="95">
        <v>3.3</v>
      </c>
      <c r="C93" s="95">
        <v>50</v>
      </c>
      <c r="D93" s="95">
        <v>30</v>
      </c>
      <c r="E93" s="95">
        <v>3</v>
      </c>
      <c r="F93" s="95">
        <v>421</v>
      </c>
      <c r="G93" s="95">
        <v>128300</v>
      </c>
      <c r="H93" s="95">
        <v>5130</v>
      </c>
      <c r="I93" s="95">
        <v>6570</v>
      </c>
      <c r="J93" s="95">
        <f t="shared" si="12"/>
        <v>17.457107258197965</v>
      </c>
      <c r="K93" s="95">
        <v>57000</v>
      </c>
      <c r="L93" s="95">
        <v>3800</v>
      </c>
      <c r="M93" s="95">
        <v>4580</v>
      </c>
      <c r="N93" s="95">
        <f t="shared" si="10"/>
        <v>11.635803538668862</v>
      </c>
      <c r="O93" s="95">
        <v>135000</v>
      </c>
    </row>
    <row r="94" spans="1:15" x14ac:dyDescent="0.45">
      <c r="A94" s="96" t="str">
        <f t="shared" si="9"/>
        <v>RHS 60x30x2</v>
      </c>
      <c r="B94" s="96">
        <v>2.62</v>
      </c>
      <c r="C94" s="96">
        <v>60</v>
      </c>
      <c r="D94" s="96">
        <v>30</v>
      </c>
      <c r="E94" s="96">
        <v>2</v>
      </c>
      <c r="F94" s="96">
        <v>334</v>
      </c>
      <c r="G94" s="96">
        <v>150000</v>
      </c>
      <c r="H94" s="96">
        <v>5020</v>
      </c>
      <c r="I94" s="96">
        <v>6310</v>
      </c>
      <c r="J94" s="96">
        <f t="shared" ref="J94:J96" si="13">SQRT(G94/F94)</f>
        <v>21.192021999025616</v>
      </c>
      <c r="K94" s="96">
        <v>50800</v>
      </c>
      <c r="L94" s="96">
        <v>3390</v>
      </c>
      <c r="M94" s="96">
        <v>3890</v>
      </c>
      <c r="N94" s="96">
        <f t="shared" si="10"/>
        <v>12.332712936869711</v>
      </c>
      <c r="O94" s="96">
        <v>126000</v>
      </c>
    </row>
    <row r="95" spans="1:15" x14ac:dyDescent="0.45">
      <c r="A95" s="95" t="str">
        <f t="shared" si="9"/>
        <v>RHS 60x30x2,5</v>
      </c>
      <c r="B95" s="95">
        <v>3.21</v>
      </c>
      <c r="C95" s="95">
        <v>60</v>
      </c>
      <c r="D95" s="95">
        <v>30</v>
      </c>
      <c r="E95" s="95">
        <v>2.5</v>
      </c>
      <c r="F95" s="95">
        <v>409</v>
      </c>
      <c r="G95" s="95">
        <v>179000</v>
      </c>
      <c r="H95" s="95">
        <v>5980</v>
      </c>
      <c r="I95" s="95">
        <v>7620</v>
      </c>
      <c r="J95" s="95">
        <f t="shared" si="13"/>
        <v>20.920153243605586</v>
      </c>
      <c r="K95" s="95">
        <v>60000</v>
      </c>
      <c r="L95" s="95">
        <v>4000</v>
      </c>
      <c r="M95" s="95">
        <v>4670</v>
      </c>
      <c r="N95" s="95">
        <f t="shared" si="10"/>
        <v>12.111947263081502</v>
      </c>
      <c r="O95" s="95">
        <v>151000</v>
      </c>
    </row>
    <row r="96" spans="1:15" x14ac:dyDescent="0.45">
      <c r="A96" s="96" t="str">
        <f t="shared" si="9"/>
        <v>RHS 60x30x3</v>
      </c>
      <c r="B96" s="96">
        <v>3.77</v>
      </c>
      <c r="C96" s="96">
        <v>60</v>
      </c>
      <c r="D96" s="96">
        <v>30</v>
      </c>
      <c r="E96" s="96">
        <v>3</v>
      </c>
      <c r="F96" s="96">
        <v>480.99999999999994</v>
      </c>
      <c r="G96" s="96">
        <v>205000</v>
      </c>
      <c r="H96" s="96">
        <v>6830</v>
      </c>
      <c r="I96" s="96">
        <v>8820</v>
      </c>
      <c r="J96" s="96">
        <f t="shared" si="13"/>
        <v>20.644501112776407</v>
      </c>
      <c r="K96" s="96">
        <v>68000</v>
      </c>
      <c r="L96" s="96">
        <v>4530</v>
      </c>
      <c r="M96" s="96">
        <v>5390</v>
      </c>
      <c r="N96" s="96">
        <f t="shared" si="10"/>
        <v>11.890001739787147</v>
      </c>
      <c r="O96" s="96">
        <v>175000</v>
      </c>
    </row>
    <row r="97" spans="1:15" x14ac:dyDescent="0.45">
      <c r="A97" s="95" t="str">
        <f t="shared" si="9"/>
        <v>RHS 60x34x2</v>
      </c>
      <c r="B97" s="95">
        <v>2.75</v>
      </c>
      <c r="C97" s="95">
        <v>60</v>
      </c>
      <c r="D97" s="95">
        <v>34</v>
      </c>
      <c r="E97" s="95">
        <v>2</v>
      </c>
      <c r="F97" s="95">
        <v>350</v>
      </c>
      <c r="G97" s="95">
        <v>164000</v>
      </c>
      <c r="H97" s="95">
        <v>5460</v>
      </c>
      <c r="I97" s="95">
        <v>6770</v>
      </c>
      <c r="J97" s="95">
        <f t="shared" ref="J97:J98" si="14">SQRT(G97/F97)</f>
        <v>21.646510771286639</v>
      </c>
      <c r="K97" s="95">
        <v>67700</v>
      </c>
      <c r="L97" s="95">
        <v>3980</v>
      </c>
      <c r="M97" s="95">
        <v>4570</v>
      </c>
      <c r="N97" s="95">
        <f t="shared" si="10"/>
        <v>13.907860059281996</v>
      </c>
      <c r="O97" s="95">
        <v>157000</v>
      </c>
    </row>
    <row r="98" spans="1:15" x14ac:dyDescent="0.45">
      <c r="A98" s="96" t="str">
        <f t="shared" si="9"/>
        <v>RHS 60x34x2,5</v>
      </c>
      <c r="B98" s="96">
        <v>3.37</v>
      </c>
      <c r="C98" s="96">
        <v>60</v>
      </c>
      <c r="D98" s="96">
        <v>34</v>
      </c>
      <c r="E98" s="96">
        <v>2.5</v>
      </c>
      <c r="F98" s="96">
        <v>429</v>
      </c>
      <c r="G98" s="96">
        <v>196000</v>
      </c>
      <c r="H98" s="96">
        <v>6530</v>
      </c>
      <c r="I98" s="96">
        <v>8189.9999999999991</v>
      </c>
      <c r="J98" s="96">
        <f t="shared" si="14"/>
        <v>21.374668579336074</v>
      </c>
      <c r="K98" s="96">
        <v>80300</v>
      </c>
      <c r="L98" s="96">
        <v>4730</v>
      </c>
      <c r="M98" s="96">
        <v>5510</v>
      </c>
      <c r="N98" s="96">
        <f t="shared" si="10"/>
        <v>13.681355458414462</v>
      </c>
      <c r="O98" s="96">
        <v>190000</v>
      </c>
    </row>
    <row r="99" spans="1:15" x14ac:dyDescent="0.45">
      <c r="A99" s="95" t="str">
        <f t="shared" si="9"/>
        <v>RHS 60x40x2</v>
      </c>
      <c r="B99" s="95">
        <v>2.93</v>
      </c>
      <c r="C99" s="95">
        <v>60</v>
      </c>
      <c r="D99" s="95">
        <v>40</v>
      </c>
      <c r="E99" s="95">
        <v>2</v>
      </c>
      <c r="F99" s="95">
        <v>374.00000000000006</v>
      </c>
      <c r="G99" s="95">
        <v>184100</v>
      </c>
      <c r="H99" s="95">
        <v>6140</v>
      </c>
      <c r="I99" s="95">
        <v>7470</v>
      </c>
      <c r="J99" s="95">
        <f t="shared" ref="J99:J101" si="15">SQRT(G99/F99)</f>
        <v>22.186617347058853</v>
      </c>
      <c r="K99" s="95">
        <v>98300</v>
      </c>
      <c r="L99" s="95">
        <v>4920</v>
      </c>
      <c r="M99" s="95">
        <v>5650</v>
      </c>
      <c r="N99" s="95">
        <f t="shared" si="10"/>
        <v>16.212162859992816</v>
      </c>
      <c r="O99" s="95">
        <v>207000</v>
      </c>
    </row>
    <row r="100" spans="1:15" x14ac:dyDescent="0.45">
      <c r="A100" s="96" t="str">
        <f t="shared" si="9"/>
        <v>RHS 60x40x3</v>
      </c>
      <c r="B100" s="96">
        <v>4.25</v>
      </c>
      <c r="C100" s="96">
        <v>60</v>
      </c>
      <c r="D100" s="96">
        <v>40</v>
      </c>
      <c r="E100" s="96">
        <v>3</v>
      </c>
      <c r="F100" s="96">
        <v>541</v>
      </c>
      <c r="G100" s="96">
        <v>253800</v>
      </c>
      <c r="H100" s="96">
        <v>8460</v>
      </c>
      <c r="I100" s="96">
        <v>10530</v>
      </c>
      <c r="J100" s="96">
        <f t="shared" si="15"/>
        <v>21.659437629987529</v>
      </c>
      <c r="K100" s="96">
        <v>134400</v>
      </c>
      <c r="L100" s="96">
        <v>6720</v>
      </c>
      <c r="M100" s="96">
        <v>7940</v>
      </c>
      <c r="N100" s="96">
        <f t="shared" si="10"/>
        <v>15.761625407610525</v>
      </c>
      <c r="O100" s="96">
        <v>293000</v>
      </c>
    </row>
    <row r="101" spans="1:15" x14ac:dyDescent="0.45">
      <c r="A101" s="95" t="str">
        <f t="shared" si="9"/>
        <v>RHS 60x40x4</v>
      </c>
      <c r="B101" s="95">
        <v>5.45</v>
      </c>
      <c r="C101" s="95">
        <v>60</v>
      </c>
      <c r="D101" s="95">
        <v>40</v>
      </c>
      <c r="E101" s="95">
        <v>4</v>
      </c>
      <c r="F101" s="95">
        <v>695</v>
      </c>
      <c r="G101" s="95">
        <v>309800</v>
      </c>
      <c r="H101" s="95">
        <v>10330</v>
      </c>
      <c r="I101" s="95">
        <v>13160</v>
      </c>
      <c r="J101" s="95">
        <f t="shared" si="15"/>
        <v>21.112920112657395</v>
      </c>
      <c r="K101" s="95">
        <v>162800</v>
      </c>
      <c r="L101" s="95">
        <v>8140.0000000000009</v>
      </c>
      <c r="M101" s="95">
        <v>9890</v>
      </c>
      <c r="N101" s="95">
        <f t="shared" si="10"/>
        <v>15.305051594703848</v>
      </c>
      <c r="O101" s="95">
        <v>367000</v>
      </c>
    </row>
    <row r="102" spans="1:15" x14ac:dyDescent="0.45">
      <c r="A102" s="96" t="str">
        <f t="shared" si="9"/>
        <v>RHS 70x35x3</v>
      </c>
      <c r="B102" s="96">
        <v>4.4800000000000004</v>
      </c>
      <c r="C102" s="96">
        <v>70</v>
      </c>
      <c r="D102" s="96">
        <v>35</v>
      </c>
      <c r="E102" s="96">
        <v>3</v>
      </c>
      <c r="F102" s="96">
        <v>571</v>
      </c>
      <c r="G102" s="96">
        <v>339000</v>
      </c>
      <c r="H102" s="96">
        <v>9700</v>
      </c>
      <c r="I102" s="96">
        <v>12400</v>
      </c>
      <c r="J102" s="96">
        <f>SQRT(G102/F102)</f>
        <v>24.365862830065964</v>
      </c>
      <c r="K102" s="96">
        <v>113000</v>
      </c>
      <c r="L102" s="96">
        <v>6480</v>
      </c>
      <c r="M102" s="96">
        <v>7590</v>
      </c>
      <c r="N102" s="96">
        <f t="shared" si="10"/>
        <v>14.067637463976082</v>
      </c>
      <c r="O102" s="96">
        <v>287000</v>
      </c>
    </row>
    <row r="103" spans="1:15" x14ac:dyDescent="0.45">
      <c r="A103" s="95" t="str">
        <f t="shared" si="9"/>
        <v>RHS 70x40x3</v>
      </c>
      <c r="B103" s="95">
        <v>4.72</v>
      </c>
      <c r="C103" s="95">
        <v>70</v>
      </c>
      <c r="D103" s="95">
        <v>40</v>
      </c>
      <c r="E103" s="95">
        <v>3</v>
      </c>
      <c r="F103" s="95">
        <v>601</v>
      </c>
      <c r="G103" s="95">
        <v>373000</v>
      </c>
      <c r="H103" s="95">
        <v>10700</v>
      </c>
      <c r="I103" s="95">
        <v>13400</v>
      </c>
      <c r="J103" s="95">
        <f t="shared" ref="J103:J104" si="16">SQRT(G103/F103)</f>
        <v>24.912492439218315</v>
      </c>
      <c r="K103" s="95">
        <v>155000</v>
      </c>
      <c r="L103" s="95">
        <v>7750</v>
      </c>
      <c r="M103" s="95">
        <v>9050</v>
      </c>
      <c r="N103" s="95">
        <f t="shared" si="10"/>
        <v>16.05937402816102</v>
      </c>
      <c r="O103" s="95">
        <v>365000</v>
      </c>
    </row>
    <row r="104" spans="1:15" x14ac:dyDescent="0.45">
      <c r="A104" s="96" t="str">
        <f t="shared" si="9"/>
        <v>RHS 70x40x4</v>
      </c>
      <c r="B104" s="96">
        <v>6.08</v>
      </c>
      <c r="C104" s="96">
        <v>70</v>
      </c>
      <c r="D104" s="96">
        <v>40</v>
      </c>
      <c r="E104" s="96">
        <v>4</v>
      </c>
      <c r="F104" s="96">
        <v>775</v>
      </c>
      <c r="G104" s="96">
        <v>460000</v>
      </c>
      <c r="H104" s="96">
        <v>13100</v>
      </c>
      <c r="I104" s="96">
        <v>16800</v>
      </c>
      <c r="J104" s="96">
        <f t="shared" si="16"/>
        <v>24.362848501289296</v>
      </c>
      <c r="K104" s="96">
        <v>189000</v>
      </c>
      <c r="L104" s="96">
        <v>9440</v>
      </c>
      <c r="M104" s="96">
        <v>11300</v>
      </c>
      <c r="N104" s="96">
        <f t="shared" si="10"/>
        <v>15.61636858369882</v>
      </c>
      <c r="O104" s="96">
        <v>458000</v>
      </c>
    </row>
    <row r="105" spans="1:15" x14ac:dyDescent="0.45">
      <c r="A105" s="95" t="str">
        <f t="shared" si="9"/>
        <v>RHS 70x50x2,5</v>
      </c>
      <c r="B105" s="95">
        <v>4.3899999999999997</v>
      </c>
      <c r="C105" s="95">
        <v>70</v>
      </c>
      <c r="D105" s="95">
        <v>50</v>
      </c>
      <c r="E105" s="95">
        <v>2.5</v>
      </c>
      <c r="F105" s="95">
        <v>559</v>
      </c>
      <c r="G105" s="95">
        <v>380100</v>
      </c>
      <c r="H105" s="95">
        <v>10860</v>
      </c>
      <c r="I105" s="95">
        <v>13160</v>
      </c>
      <c r="J105" s="95">
        <f t="shared" ref="J105:J107" si="17">SQRT(G105/F105)</f>
        <v>26.076123596590943</v>
      </c>
      <c r="K105" s="95">
        <v>225900</v>
      </c>
      <c r="L105" s="95">
        <v>9040</v>
      </c>
      <c r="M105" s="95">
        <v>10450</v>
      </c>
      <c r="N105" s="95">
        <f t="shared" si="10"/>
        <v>20.102599089694891</v>
      </c>
      <c r="O105" s="95">
        <v>458000</v>
      </c>
    </row>
    <row r="106" spans="1:15" x14ac:dyDescent="0.45">
      <c r="A106" s="96" t="str">
        <f t="shared" si="9"/>
        <v>RHS 70x50x3</v>
      </c>
      <c r="B106" s="96">
        <v>5.19</v>
      </c>
      <c r="C106" s="96">
        <v>70</v>
      </c>
      <c r="D106" s="96">
        <v>50</v>
      </c>
      <c r="E106" s="96">
        <v>3</v>
      </c>
      <c r="F106" s="96">
        <v>661.00000000000011</v>
      </c>
      <c r="G106" s="96">
        <v>440500</v>
      </c>
      <c r="H106" s="96">
        <v>12590</v>
      </c>
      <c r="I106" s="96">
        <v>15400</v>
      </c>
      <c r="J106" s="96">
        <f t="shared" si="17"/>
        <v>25.815005780540105</v>
      </c>
      <c r="K106" s="96">
        <v>261000</v>
      </c>
      <c r="L106" s="96">
        <v>10440</v>
      </c>
      <c r="M106" s="96">
        <v>12210</v>
      </c>
      <c r="N106" s="96">
        <f t="shared" si="10"/>
        <v>19.870990875296378</v>
      </c>
      <c r="O106" s="96">
        <v>536000</v>
      </c>
    </row>
    <row r="107" spans="1:15" x14ac:dyDescent="0.45">
      <c r="A107" s="95" t="str">
        <f t="shared" si="9"/>
        <v>RHS 70x50x4</v>
      </c>
      <c r="B107" s="95">
        <v>6.71</v>
      </c>
      <c r="C107" s="95">
        <v>70</v>
      </c>
      <c r="D107" s="95">
        <v>50</v>
      </c>
      <c r="E107" s="95">
        <v>4</v>
      </c>
      <c r="F107" s="95">
        <v>855</v>
      </c>
      <c r="G107" s="95">
        <v>546700</v>
      </c>
      <c r="H107" s="95">
        <v>15620</v>
      </c>
      <c r="I107" s="95">
        <v>19480</v>
      </c>
      <c r="J107" s="95">
        <f t="shared" si="17"/>
        <v>25.286660607489527</v>
      </c>
      <c r="K107" s="95">
        <v>322200</v>
      </c>
      <c r="L107" s="95">
        <v>12890</v>
      </c>
      <c r="M107" s="95">
        <v>15410</v>
      </c>
      <c r="N107" s="95">
        <f t="shared" si="10"/>
        <v>19.412421416792856</v>
      </c>
      <c r="O107" s="95">
        <v>681000</v>
      </c>
    </row>
    <row r="108" spans="1:15" x14ac:dyDescent="0.45">
      <c r="A108" s="96" t="str">
        <f t="shared" si="9"/>
        <v>RHS 80x40x2</v>
      </c>
      <c r="B108" s="96">
        <v>3.56</v>
      </c>
      <c r="C108" s="96">
        <v>80</v>
      </c>
      <c r="D108" s="96">
        <v>40</v>
      </c>
      <c r="E108" s="96">
        <v>2</v>
      </c>
      <c r="F108" s="96">
        <v>454</v>
      </c>
      <c r="G108" s="96">
        <v>373600</v>
      </c>
      <c r="H108" s="96">
        <v>9340</v>
      </c>
      <c r="I108" s="96">
        <v>11610</v>
      </c>
      <c r="J108" s="96">
        <f>SQRT(G108/F108)</f>
        <v>28.686364164647706</v>
      </c>
      <c r="K108" s="96">
        <v>127200</v>
      </c>
      <c r="L108" s="96">
        <v>6360</v>
      </c>
      <c r="M108" s="96">
        <v>7170</v>
      </c>
      <c r="N108" s="96">
        <f t="shared" si="10"/>
        <v>16.73846502681009</v>
      </c>
      <c r="O108" s="96">
        <v>309000</v>
      </c>
    </row>
    <row r="109" spans="1:15" x14ac:dyDescent="0.45">
      <c r="A109" s="95" t="str">
        <f t="shared" si="9"/>
        <v>RHS 80x40x2,5</v>
      </c>
      <c r="B109" s="95">
        <v>4.3899999999999997</v>
      </c>
      <c r="C109" s="95">
        <v>80</v>
      </c>
      <c r="D109" s="95">
        <v>40</v>
      </c>
      <c r="E109" s="95">
        <v>2.5</v>
      </c>
      <c r="F109" s="95">
        <v>559</v>
      </c>
      <c r="G109" s="95">
        <v>451100</v>
      </c>
      <c r="H109" s="95">
        <v>11280</v>
      </c>
      <c r="I109" s="95">
        <v>14140</v>
      </c>
      <c r="J109" s="95">
        <f t="shared" ref="J109:J112" si="18">SQRT(G109/F109)</f>
        <v>28.407336098023105</v>
      </c>
      <c r="K109" s="95">
        <v>152600</v>
      </c>
      <c r="L109" s="95">
        <v>7630</v>
      </c>
      <c r="M109" s="95">
        <v>8720</v>
      </c>
      <c r="N109" s="95">
        <f t="shared" si="10"/>
        <v>16.522332693619276</v>
      </c>
      <c r="O109" s="95">
        <v>376000</v>
      </c>
    </row>
    <row r="110" spans="1:15" x14ac:dyDescent="0.45">
      <c r="A110" s="96" t="str">
        <f t="shared" si="9"/>
        <v>RHS 80x40x3</v>
      </c>
      <c r="B110" s="96">
        <v>5.19</v>
      </c>
      <c r="C110" s="96">
        <v>80</v>
      </c>
      <c r="D110" s="96">
        <v>40</v>
      </c>
      <c r="E110" s="96">
        <v>3</v>
      </c>
      <c r="F110" s="96">
        <v>661.00000000000011</v>
      </c>
      <c r="G110" s="96">
        <v>522500</v>
      </c>
      <c r="H110" s="96">
        <v>13060</v>
      </c>
      <c r="I110" s="96">
        <v>16540</v>
      </c>
      <c r="J110" s="96">
        <f t="shared" si="18"/>
        <v>28.115280300652636</v>
      </c>
      <c r="K110" s="96">
        <v>175600</v>
      </c>
      <c r="L110" s="96">
        <v>8780</v>
      </c>
      <c r="M110" s="96">
        <v>10160</v>
      </c>
      <c r="N110" s="96">
        <f t="shared" si="10"/>
        <v>16.299021252740204</v>
      </c>
      <c r="O110" s="96">
        <v>439000</v>
      </c>
    </row>
    <row r="111" spans="1:15" x14ac:dyDescent="0.45">
      <c r="A111" s="95" t="str">
        <f t="shared" si="9"/>
        <v>RHS 80x40x4</v>
      </c>
      <c r="B111" s="95">
        <v>6.71</v>
      </c>
      <c r="C111" s="95">
        <v>80</v>
      </c>
      <c r="D111" s="95">
        <v>40</v>
      </c>
      <c r="E111" s="95">
        <v>4</v>
      </c>
      <c r="F111" s="95">
        <v>855</v>
      </c>
      <c r="G111" s="95">
        <v>647900.00000000012</v>
      </c>
      <c r="H111" s="95">
        <v>16200</v>
      </c>
      <c r="I111" s="95">
        <v>20910</v>
      </c>
      <c r="J111" s="95">
        <f t="shared" si="18"/>
        <v>27.527763762750109</v>
      </c>
      <c r="K111" s="95">
        <v>214800</v>
      </c>
      <c r="L111" s="95">
        <v>10740</v>
      </c>
      <c r="M111" s="95">
        <v>12770</v>
      </c>
      <c r="N111" s="95">
        <f t="shared" si="10"/>
        <v>15.85017571433953</v>
      </c>
      <c r="O111" s="95">
        <v>552000</v>
      </c>
    </row>
    <row r="112" spans="1:15" x14ac:dyDescent="0.45">
      <c r="A112" s="96" t="str">
        <f t="shared" si="9"/>
        <v>RHS 80x40x5</v>
      </c>
      <c r="B112" s="96">
        <v>8.1300000000000008</v>
      </c>
      <c r="C112" s="96">
        <v>80</v>
      </c>
      <c r="D112" s="96">
        <v>40</v>
      </c>
      <c r="E112" s="96">
        <v>5</v>
      </c>
      <c r="F112" s="96">
        <v>1036</v>
      </c>
      <c r="G112" s="96">
        <v>751000</v>
      </c>
      <c r="H112" s="96">
        <v>18780</v>
      </c>
      <c r="I112" s="96">
        <v>24730</v>
      </c>
      <c r="J112" s="96">
        <f t="shared" si="18"/>
        <v>26.924031549964337</v>
      </c>
      <c r="K112" s="96">
        <v>245900</v>
      </c>
      <c r="L112" s="96">
        <v>12290</v>
      </c>
      <c r="M112" s="96">
        <v>15020</v>
      </c>
      <c r="N112" s="96">
        <f t="shared" si="10"/>
        <v>15.406336759762599</v>
      </c>
      <c r="O112" s="96">
        <v>650000</v>
      </c>
    </row>
    <row r="113" spans="1:15" x14ac:dyDescent="0.45">
      <c r="A113" s="95" t="str">
        <f t="shared" si="9"/>
        <v>RHS 80x50x3</v>
      </c>
      <c r="B113" s="95">
        <v>5.66</v>
      </c>
      <c r="C113" s="95">
        <v>80</v>
      </c>
      <c r="D113" s="95">
        <v>50</v>
      </c>
      <c r="E113" s="95">
        <v>3</v>
      </c>
      <c r="F113" s="95">
        <v>721</v>
      </c>
      <c r="G113" s="95">
        <v>611000</v>
      </c>
      <c r="H113" s="95">
        <v>15300</v>
      </c>
      <c r="I113" s="95">
        <v>18800</v>
      </c>
      <c r="J113" s="95">
        <f t="shared" ref="J113:J115" si="19">SQRT(G113/F113)</f>
        <v>29.110721723770084</v>
      </c>
      <c r="K113" s="95">
        <v>294000</v>
      </c>
      <c r="L113" s="95">
        <v>11800</v>
      </c>
      <c r="M113" s="95">
        <v>13600</v>
      </c>
      <c r="N113" s="95">
        <f t="shared" si="10"/>
        <v>20.193241203216044</v>
      </c>
      <c r="O113" s="95">
        <v>650000</v>
      </c>
    </row>
    <row r="114" spans="1:15" x14ac:dyDescent="0.45">
      <c r="A114" s="96" t="str">
        <f t="shared" si="9"/>
        <v>RHS 80x50x4</v>
      </c>
      <c r="B114" s="96">
        <v>7.34</v>
      </c>
      <c r="C114" s="96">
        <v>80</v>
      </c>
      <c r="D114" s="96">
        <v>50</v>
      </c>
      <c r="E114" s="96">
        <v>4</v>
      </c>
      <c r="F114" s="96">
        <v>935</v>
      </c>
      <c r="G114" s="96">
        <v>764000</v>
      </c>
      <c r="H114" s="96">
        <v>19100</v>
      </c>
      <c r="I114" s="96">
        <v>24000</v>
      </c>
      <c r="J114" s="96">
        <f t="shared" si="19"/>
        <v>28.585176218894308</v>
      </c>
      <c r="K114" s="96">
        <v>365000</v>
      </c>
      <c r="L114" s="96">
        <v>14600</v>
      </c>
      <c r="M114" s="96">
        <v>17200</v>
      </c>
      <c r="N114" s="96">
        <f t="shared" si="10"/>
        <v>19.757892892482289</v>
      </c>
      <c r="O114" s="96">
        <v>827000</v>
      </c>
    </row>
    <row r="115" spans="1:15" x14ac:dyDescent="0.45">
      <c r="A115" s="95" t="str">
        <f t="shared" si="9"/>
        <v>RHS 80x50x5</v>
      </c>
      <c r="B115" s="95">
        <v>8.91</v>
      </c>
      <c r="C115" s="95">
        <v>80</v>
      </c>
      <c r="D115" s="95">
        <v>50</v>
      </c>
      <c r="E115" s="95">
        <v>5</v>
      </c>
      <c r="F115" s="95">
        <v>1140</v>
      </c>
      <c r="G115" s="95">
        <v>892000</v>
      </c>
      <c r="H115" s="95">
        <v>22300</v>
      </c>
      <c r="I115" s="95">
        <v>28500</v>
      </c>
      <c r="J115" s="95">
        <f t="shared" si="19"/>
        <v>27.972417492073816</v>
      </c>
      <c r="K115" s="95">
        <v>423000</v>
      </c>
      <c r="L115" s="95">
        <v>16900</v>
      </c>
      <c r="M115" s="95">
        <v>20500</v>
      </c>
      <c r="N115" s="95">
        <f t="shared" si="10"/>
        <v>19.262726483521156</v>
      </c>
      <c r="O115" s="95">
        <v>984000</v>
      </c>
    </row>
    <row r="116" spans="1:15" x14ac:dyDescent="0.45">
      <c r="A116" s="96" t="str">
        <f t="shared" si="9"/>
        <v>RHS 80x60x2</v>
      </c>
      <c r="B116" s="97">
        <v>4.1900000000000004</v>
      </c>
      <c r="C116" s="96">
        <v>80</v>
      </c>
      <c r="D116" s="96">
        <v>60</v>
      </c>
      <c r="E116" s="96">
        <v>2</v>
      </c>
      <c r="F116" s="96">
        <v>534</v>
      </c>
      <c r="G116" s="96">
        <v>495300</v>
      </c>
      <c r="H116" s="96">
        <v>12380</v>
      </c>
      <c r="I116" s="96">
        <v>14730</v>
      </c>
      <c r="J116" s="96">
        <f t="shared" ref="J116:J119" si="20">SQRT(G116/F116)</f>
        <v>30.455345834313562</v>
      </c>
      <c r="K116" s="96">
        <v>318700</v>
      </c>
      <c r="L116" s="96">
        <v>10620</v>
      </c>
      <c r="M116" s="96">
        <v>12110</v>
      </c>
      <c r="N116" s="96">
        <f t="shared" ref="N116:N119" si="21">J116</f>
        <v>30.455345834313562</v>
      </c>
      <c r="O116" s="96">
        <v>612000</v>
      </c>
    </row>
    <row r="117" spans="1:15" x14ac:dyDescent="0.45">
      <c r="A117" s="95" t="str">
        <f t="shared" si="9"/>
        <v>RHS 80x60x3</v>
      </c>
      <c r="B117" s="95">
        <v>6.13</v>
      </c>
      <c r="C117" s="95">
        <v>80</v>
      </c>
      <c r="D117" s="95">
        <v>60</v>
      </c>
      <c r="E117" s="95">
        <v>3</v>
      </c>
      <c r="F117" s="95">
        <v>781</v>
      </c>
      <c r="G117" s="95">
        <v>700500</v>
      </c>
      <c r="H117" s="95">
        <v>17510</v>
      </c>
      <c r="I117" s="95">
        <v>21160</v>
      </c>
      <c r="J117" s="95">
        <f t="shared" si="20"/>
        <v>29.948739817316628</v>
      </c>
      <c r="K117" s="95">
        <v>448900</v>
      </c>
      <c r="L117" s="95">
        <v>14960</v>
      </c>
      <c r="M117" s="95">
        <v>17370</v>
      </c>
      <c r="N117" s="95">
        <f t="shared" si="21"/>
        <v>29.948739817316628</v>
      </c>
      <c r="O117" s="95">
        <v>883000</v>
      </c>
    </row>
    <row r="118" spans="1:15" x14ac:dyDescent="0.45">
      <c r="A118" s="96" t="str">
        <f t="shared" si="9"/>
        <v>RHS 80x60x4</v>
      </c>
      <c r="B118" s="96">
        <v>7.97</v>
      </c>
      <c r="C118" s="96">
        <v>80</v>
      </c>
      <c r="D118" s="96">
        <v>60</v>
      </c>
      <c r="E118" s="96">
        <v>4</v>
      </c>
      <c r="F118" s="96">
        <v>1015</v>
      </c>
      <c r="G118" s="96">
        <v>879200</v>
      </c>
      <c r="H118" s="96">
        <v>21980</v>
      </c>
      <c r="I118" s="96">
        <v>26990</v>
      </c>
      <c r="J118" s="96">
        <f t="shared" si="20"/>
        <v>29.431393044701846</v>
      </c>
      <c r="K118" s="96">
        <v>561100</v>
      </c>
      <c r="L118" s="96">
        <v>18700</v>
      </c>
      <c r="M118" s="96">
        <v>22120</v>
      </c>
      <c r="N118" s="96">
        <f t="shared" si="21"/>
        <v>29.431393044701846</v>
      </c>
      <c r="O118" s="96">
        <v>1131000</v>
      </c>
    </row>
    <row r="119" spans="1:15" x14ac:dyDescent="0.45">
      <c r="A119" s="95" t="str">
        <f t="shared" si="9"/>
        <v>RHS 80x60x6</v>
      </c>
      <c r="B119" s="95">
        <v>11.3</v>
      </c>
      <c r="C119" s="95">
        <v>80</v>
      </c>
      <c r="D119" s="95">
        <v>60</v>
      </c>
      <c r="E119" s="95">
        <v>6</v>
      </c>
      <c r="F119" s="95">
        <v>1440</v>
      </c>
      <c r="G119" s="95">
        <v>1160000</v>
      </c>
      <c r="H119" s="95">
        <v>29100</v>
      </c>
      <c r="I119" s="95">
        <v>36900</v>
      </c>
      <c r="J119" s="95">
        <f t="shared" si="20"/>
        <v>28.382310609877337</v>
      </c>
      <c r="K119" s="95">
        <v>736000</v>
      </c>
      <c r="L119" s="95">
        <v>24500</v>
      </c>
      <c r="M119" s="95">
        <v>30200</v>
      </c>
      <c r="N119" s="95">
        <f t="shared" si="21"/>
        <v>28.382310609877337</v>
      </c>
      <c r="O119" s="95">
        <v>1560000</v>
      </c>
    </row>
    <row r="120" spans="1:15" x14ac:dyDescent="0.45">
      <c r="A120" s="96" t="str">
        <f t="shared" si="9"/>
        <v>RHS 90x50x3</v>
      </c>
      <c r="B120" s="96">
        <v>6.13</v>
      </c>
      <c r="C120" s="96">
        <v>90</v>
      </c>
      <c r="D120" s="96">
        <v>50</v>
      </c>
      <c r="E120" s="96">
        <v>3</v>
      </c>
      <c r="F120" s="96">
        <v>781</v>
      </c>
      <c r="G120" s="96">
        <v>818500</v>
      </c>
      <c r="H120" s="96">
        <v>18190</v>
      </c>
      <c r="I120" s="96">
        <v>22600</v>
      </c>
      <c r="J120" s="96">
        <f t="shared" ref="J120:J122" si="22">SQRT(G120/F120)</f>
        <v>32.373065423539572</v>
      </c>
      <c r="K120" s="96">
        <v>327400</v>
      </c>
      <c r="L120" s="96">
        <v>13100</v>
      </c>
      <c r="M120" s="96">
        <v>15030</v>
      </c>
      <c r="N120" s="96">
        <f t="shared" ref="N120:N122" si="23">J120</f>
        <v>32.373065423539572</v>
      </c>
      <c r="O120" s="96">
        <v>767000</v>
      </c>
    </row>
    <row r="121" spans="1:15" x14ac:dyDescent="0.45">
      <c r="A121" s="95" t="str">
        <f t="shared" si="9"/>
        <v>RHS 90x50x4</v>
      </c>
      <c r="B121" s="95">
        <v>7.97</v>
      </c>
      <c r="C121" s="95">
        <v>90</v>
      </c>
      <c r="D121" s="95">
        <v>50</v>
      </c>
      <c r="E121" s="95">
        <v>4</v>
      </c>
      <c r="F121" s="95">
        <v>1015</v>
      </c>
      <c r="G121" s="95">
        <v>1027099.9999999999</v>
      </c>
      <c r="H121" s="95">
        <v>22820</v>
      </c>
      <c r="I121" s="95">
        <v>28820</v>
      </c>
      <c r="J121" s="95">
        <f t="shared" si="22"/>
        <v>31.810708609932124</v>
      </c>
      <c r="K121" s="95">
        <v>407100</v>
      </c>
      <c r="L121" s="95">
        <v>16280.000000000002</v>
      </c>
      <c r="M121" s="95">
        <v>19090</v>
      </c>
      <c r="N121" s="95">
        <f t="shared" si="23"/>
        <v>31.810708609932124</v>
      </c>
      <c r="O121" s="95">
        <v>977000</v>
      </c>
    </row>
    <row r="122" spans="1:15" x14ac:dyDescent="0.45">
      <c r="A122" s="96" t="str">
        <f t="shared" si="9"/>
        <v>RHS 90x50x5</v>
      </c>
      <c r="B122" s="96">
        <v>9.6999999999999993</v>
      </c>
      <c r="C122" s="96">
        <v>90</v>
      </c>
      <c r="D122" s="96">
        <v>50</v>
      </c>
      <c r="E122" s="96">
        <v>5</v>
      </c>
      <c r="F122" s="96">
        <v>1236</v>
      </c>
      <c r="G122" s="96">
        <v>1206000</v>
      </c>
      <c r="H122" s="96">
        <v>26800</v>
      </c>
      <c r="I122" s="96">
        <v>34410</v>
      </c>
      <c r="J122" s="96">
        <f t="shared" si="22"/>
        <v>31.236647632865566</v>
      </c>
      <c r="K122" s="96">
        <v>473700</v>
      </c>
      <c r="L122" s="96">
        <v>18950</v>
      </c>
      <c r="M122" s="96">
        <v>22700</v>
      </c>
      <c r="N122" s="96">
        <f t="shared" si="23"/>
        <v>31.236647632865566</v>
      </c>
      <c r="O122" s="96">
        <v>1165000</v>
      </c>
    </row>
    <row r="123" spans="1:15" x14ac:dyDescent="0.45">
      <c r="A123" s="95" t="str">
        <f t="shared" si="9"/>
        <v>RHS 100x40x2</v>
      </c>
      <c r="B123" s="95">
        <v>4.1900000000000004</v>
      </c>
      <c r="C123" s="95">
        <v>100</v>
      </c>
      <c r="D123" s="95">
        <v>40</v>
      </c>
      <c r="E123" s="95">
        <v>2</v>
      </c>
      <c r="F123" s="95">
        <v>534</v>
      </c>
      <c r="G123" s="95">
        <v>654000</v>
      </c>
      <c r="H123" s="95">
        <v>13100</v>
      </c>
      <c r="I123" s="95">
        <v>16500</v>
      </c>
      <c r="J123" s="95">
        <f t="shared" ref="J123:J126" si="24">SQRT(G123/F123)</f>
        <v>34.995986928840793</v>
      </c>
      <c r="K123" s="95">
        <v>156000</v>
      </c>
      <c r="L123" s="95">
        <v>7810</v>
      </c>
      <c r="M123" s="95">
        <v>8690</v>
      </c>
      <c r="N123" s="95">
        <f t="shared" ref="N123:N126" si="25">J123</f>
        <v>34.995986928840793</v>
      </c>
      <c r="O123" s="95">
        <v>415000</v>
      </c>
    </row>
    <row r="124" spans="1:15" x14ac:dyDescent="0.45">
      <c r="A124" s="96" t="str">
        <f t="shared" si="9"/>
        <v>RHS 100x40x3</v>
      </c>
      <c r="B124" s="96">
        <v>6.13</v>
      </c>
      <c r="C124" s="96">
        <v>100</v>
      </c>
      <c r="D124" s="96">
        <v>40</v>
      </c>
      <c r="E124" s="96">
        <v>3</v>
      </c>
      <c r="F124" s="96">
        <v>781</v>
      </c>
      <c r="G124" s="96">
        <v>923400</v>
      </c>
      <c r="H124" s="96">
        <v>18470</v>
      </c>
      <c r="I124" s="96">
        <v>23750</v>
      </c>
      <c r="J124" s="96">
        <f t="shared" si="24"/>
        <v>34.385030837715234</v>
      </c>
      <c r="K124" s="96">
        <v>216700.00000000003</v>
      </c>
      <c r="L124" s="96">
        <v>10840</v>
      </c>
      <c r="M124" s="96">
        <v>12380</v>
      </c>
      <c r="N124" s="96">
        <f t="shared" si="25"/>
        <v>34.385030837715234</v>
      </c>
      <c r="O124" s="96">
        <v>590000</v>
      </c>
    </row>
    <row r="125" spans="1:15" x14ac:dyDescent="0.45">
      <c r="A125" s="95" t="str">
        <f t="shared" si="9"/>
        <v>RHS 100x40x4</v>
      </c>
      <c r="B125" s="95">
        <v>7.97</v>
      </c>
      <c r="C125" s="95">
        <v>100</v>
      </c>
      <c r="D125" s="95">
        <v>40</v>
      </c>
      <c r="E125" s="95">
        <v>4</v>
      </c>
      <c r="F125" s="95">
        <v>1015</v>
      </c>
      <c r="G125" s="95">
        <v>1156900</v>
      </c>
      <c r="H125" s="95">
        <v>23140</v>
      </c>
      <c r="I125" s="95">
        <v>30260</v>
      </c>
      <c r="J125" s="95">
        <f t="shared" si="24"/>
        <v>33.760967931400081</v>
      </c>
      <c r="K125" s="95">
        <v>266900</v>
      </c>
      <c r="L125" s="95">
        <v>13340</v>
      </c>
      <c r="M125" s="95">
        <v>15650</v>
      </c>
      <c r="N125" s="95">
        <f t="shared" si="25"/>
        <v>33.760967931400081</v>
      </c>
      <c r="O125" s="95">
        <v>745000</v>
      </c>
    </row>
    <row r="126" spans="1:15" x14ac:dyDescent="0.45">
      <c r="A126" s="96" t="str">
        <f t="shared" si="9"/>
        <v>RHS 100x40x5</v>
      </c>
      <c r="B126" s="96">
        <v>9.6999999999999993</v>
      </c>
      <c r="C126" s="96">
        <v>100</v>
      </c>
      <c r="D126" s="96">
        <v>40</v>
      </c>
      <c r="E126" s="96">
        <v>5</v>
      </c>
      <c r="F126" s="96">
        <v>1236</v>
      </c>
      <c r="G126" s="96">
        <v>1356000</v>
      </c>
      <c r="H126" s="96">
        <v>27120</v>
      </c>
      <c r="I126" s="96">
        <v>36090</v>
      </c>
      <c r="J126" s="96">
        <f t="shared" si="24"/>
        <v>33.12230937964285</v>
      </c>
      <c r="K126" s="96">
        <v>307600</v>
      </c>
      <c r="L126" s="96">
        <v>15380</v>
      </c>
      <c r="M126" s="96">
        <v>18520</v>
      </c>
      <c r="N126" s="96">
        <f t="shared" si="25"/>
        <v>33.12230937964285</v>
      </c>
      <c r="O126" s="96">
        <v>879000</v>
      </c>
    </row>
    <row r="127" spans="1:15" x14ac:dyDescent="0.45">
      <c r="A127" s="95" t="str">
        <f t="shared" si="9"/>
        <v>RHS 100x50x2</v>
      </c>
      <c r="B127" s="95">
        <v>4.5</v>
      </c>
      <c r="C127" s="95">
        <v>100</v>
      </c>
      <c r="D127" s="95">
        <v>50</v>
      </c>
      <c r="E127" s="95">
        <v>2</v>
      </c>
      <c r="F127" s="95">
        <v>574</v>
      </c>
      <c r="G127" s="95">
        <v>750000</v>
      </c>
      <c r="H127" s="95">
        <v>15000</v>
      </c>
      <c r="I127" s="95">
        <v>18500</v>
      </c>
      <c r="J127" s="95">
        <f t="shared" ref="J127:J131" si="26">SQRT(G127/F127)</f>
        <v>36.14720195339099</v>
      </c>
      <c r="K127" s="95">
        <v>257000</v>
      </c>
      <c r="L127" s="95">
        <v>10300</v>
      </c>
      <c r="M127" s="95">
        <v>11500</v>
      </c>
      <c r="N127" s="95">
        <f t="shared" ref="N127:N131" si="27">J127</f>
        <v>36.14720195339099</v>
      </c>
      <c r="O127" s="95">
        <v>616000</v>
      </c>
    </row>
    <row r="128" spans="1:15" x14ac:dyDescent="0.45">
      <c r="A128" s="96" t="str">
        <f t="shared" si="9"/>
        <v>RHS 100x50x2,5</v>
      </c>
      <c r="B128" s="96">
        <v>5.56</v>
      </c>
      <c r="C128" s="96">
        <v>100</v>
      </c>
      <c r="D128" s="96">
        <v>50</v>
      </c>
      <c r="E128" s="96">
        <v>2.5</v>
      </c>
      <c r="F128" s="96">
        <v>709</v>
      </c>
      <c r="G128" s="96">
        <v>912000</v>
      </c>
      <c r="H128" s="96">
        <v>18240</v>
      </c>
      <c r="I128" s="96">
        <v>22670</v>
      </c>
      <c r="J128" s="96">
        <f t="shared" si="26"/>
        <v>35.865286264230946</v>
      </c>
      <c r="K128" s="96">
        <v>310600</v>
      </c>
      <c r="L128" s="96">
        <v>12420</v>
      </c>
      <c r="M128" s="96">
        <v>14010</v>
      </c>
      <c r="N128" s="96">
        <f t="shared" si="27"/>
        <v>35.865286264230946</v>
      </c>
      <c r="O128" s="96">
        <v>754000</v>
      </c>
    </row>
    <row r="129" spans="1:15" x14ac:dyDescent="0.45">
      <c r="A129" s="95" t="str">
        <f t="shared" si="9"/>
        <v>RHS 100x50x3</v>
      </c>
      <c r="B129" s="95">
        <v>6.6</v>
      </c>
      <c r="C129" s="95">
        <v>100</v>
      </c>
      <c r="D129" s="95">
        <v>50</v>
      </c>
      <c r="E129" s="95">
        <v>3</v>
      </c>
      <c r="F129" s="95">
        <v>841</v>
      </c>
      <c r="G129" s="95">
        <v>1064600</v>
      </c>
      <c r="H129" s="95">
        <v>21290</v>
      </c>
      <c r="I129" s="95">
        <v>26660</v>
      </c>
      <c r="J129" s="95">
        <f t="shared" si="26"/>
        <v>35.579122523917569</v>
      </c>
      <c r="K129" s="95">
        <v>360600</v>
      </c>
      <c r="L129" s="95">
        <v>14420</v>
      </c>
      <c r="M129" s="95">
        <v>16440</v>
      </c>
      <c r="N129" s="95">
        <f t="shared" si="27"/>
        <v>35.579122523917569</v>
      </c>
      <c r="O129" s="95">
        <v>886000</v>
      </c>
    </row>
    <row r="130" spans="1:15" x14ac:dyDescent="0.45">
      <c r="A130" s="96" t="str">
        <f t="shared" si="9"/>
        <v>RHS 100x50x4</v>
      </c>
      <c r="B130" s="96">
        <v>8.59</v>
      </c>
      <c r="C130" s="96">
        <v>100</v>
      </c>
      <c r="D130" s="96">
        <v>50</v>
      </c>
      <c r="E130" s="96">
        <v>4</v>
      </c>
      <c r="F130" s="96">
        <v>1095</v>
      </c>
      <c r="G130" s="96">
        <v>1341399.9999999998</v>
      </c>
      <c r="H130" s="96">
        <v>26830</v>
      </c>
      <c r="I130" s="96">
        <v>34100</v>
      </c>
      <c r="J130" s="96">
        <f t="shared" si="26"/>
        <v>35.000326156340719</v>
      </c>
      <c r="K130" s="96">
        <v>449500</v>
      </c>
      <c r="L130" s="96">
        <v>17980</v>
      </c>
      <c r="M130" s="96">
        <v>20930</v>
      </c>
      <c r="N130" s="96">
        <f t="shared" si="27"/>
        <v>35.000326156340719</v>
      </c>
      <c r="O130" s="96">
        <v>1130000</v>
      </c>
    </row>
    <row r="131" spans="1:15" x14ac:dyDescent="0.45">
      <c r="A131" s="95" t="str">
        <f t="shared" si="9"/>
        <v>RHS 100x50x5</v>
      </c>
      <c r="B131" s="95">
        <v>10.48</v>
      </c>
      <c r="C131" s="95">
        <v>100</v>
      </c>
      <c r="D131" s="95">
        <v>50</v>
      </c>
      <c r="E131" s="95">
        <v>5</v>
      </c>
      <c r="F131" s="95">
        <v>1336</v>
      </c>
      <c r="G131" s="95">
        <v>1581800</v>
      </c>
      <c r="H131" s="95">
        <v>31640</v>
      </c>
      <c r="I131" s="95">
        <v>40840</v>
      </c>
      <c r="J131" s="95">
        <f t="shared" si="26"/>
        <v>34.40904003206343</v>
      </c>
      <c r="K131" s="95">
        <v>524500</v>
      </c>
      <c r="L131" s="95">
        <v>20980</v>
      </c>
      <c r="M131" s="95">
        <v>24950</v>
      </c>
      <c r="N131" s="95">
        <f t="shared" si="27"/>
        <v>34.40904003206343</v>
      </c>
      <c r="O131" s="95">
        <v>1349000</v>
      </c>
    </row>
    <row r="132" spans="1:15" x14ac:dyDescent="0.45">
      <c r="A132" s="96" t="str">
        <f t="shared" si="9"/>
        <v>RHS 100x60x3</v>
      </c>
      <c r="B132" s="96">
        <v>7.07</v>
      </c>
      <c r="C132" s="96">
        <v>100</v>
      </c>
      <c r="D132" s="96">
        <v>60</v>
      </c>
      <c r="E132" s="96">
        <v>3</v>
      </c>
      <c r="F132" s="96">
        <v>901</v>
      </c>
      <c r="G132" s="96">
        <v>1205700</v>
      </c>
      <c r="H132" s="96">
        <v>24110</v>
      </c>
      <c r="I132" s="96">
        <v>29570</v>
      </c>
      <c r="J132" s="96">
        <f t="shared" ref="J132:J134" si="28">SQRT(G132/F132)</f>
        <v>36.581139952466977</v>
      </c>
      <c r="K132" s="96">
        <v>546500</v>
      </c>
      <c r="L132" s="96">
        <v>18220</v>
      </c>
      <c r="M132" s="96">
        <v>20790</v>
      </c>
      <c r="N132" s="96">
        <f t="shared" ref="N132:N134" si="29">J132</f>
        <v>36.581139952466977</v>
      </c>
      <c r="O132" s="96">
        <v>1217000</v>
      </c>
    </row>
    <row r="133" spans="1:15" x14ac:dyDescent="0.45">
      <c r="A133" s="95" t="str">
        <f t="shared" si="9"/>
        <v>RHS 100x60x4</v>
      </c>
      <c r="B133" s="95">
        <v>9.2200000000000006</v>
      </c>
      <c r="C133" s="95">
        <v>100</v>
      </c>
      <c r="D133" s="95">
        <v>60</v>
      </c>
      <c r="E133" s="95">
        <v>4</v>
      </c>
      <c r="F133" s="95">
        <v>1175</v>
      </c>
      <c r="G133" s="95">
        <v>1525800.0000000002</v>
      </c>
      <c r="H133" s="95">
        <v>30520</v>
      </c>
      <c r="I133" s="95">
        <v>37940</v>
      </c>
      <c r="J133" s="95">
        <f t="shared" si="28"/>
        <v>36.035443545062158</v>
      </c>
      <c r="K133" s="95">
        <v>686800.00000000012</v>
      </c>
      <c r="L133" s="95">
        <v>22890</v>
      </c>
      <c r="M133" s="95">
        <v>26600</v>
      </c>
      <c r="N133" s="95">
        <f t="shared" si="29"/>
        <v>36.035443545062158</v>
      </c>
      <c r="O133" s="95">
        <v>1563000</v>
      </c>
    </row>
    <row r="134" spans="1:15" x14ac:dyDescent="0.45">
      <c r="A134" s="96" t="str">
        <f t="shared" si="9"/>
        <v>RHS 100x60x5</v>
      </c>
      <c r="B134" s="96">
        <v>11.27</v>
      </c>
      <c r="C134" s="96">
        <v>100</v>
      </c>
      <c r="D134" s="96">
        <v>60</v>
      </c>
      <c r="E134" s="96">
        <v>5</v>
      </c>
      <c r="F134" s="96">
        <v>1436</v>
      </c>
      <c r="G134" s="96">
        <v>1807600</v>
      </c>
      <c r="H134" s="96">
        <v>36150</v>
      </c>
      <c r="I134" s="96">
        <v>45590</v>
      </c>
      <c r="J134" s="96">
        <f t="shared" si="28"/>
        <v>35.479210437368145</v>
      </c>
      <c r="K134" s="96">
        <v>808199.99999999988</v>
      </c>
      <c r="L134" s="96">
        <v>26940</v>
      </c>
      <c r="M134" s="96">
        <v>31880</v>
      </c>
      <c r="N134" s="96">
        <f t="shared" si="29"/>
        <v>35.479210437368145</v>
      </c>
      <c r="O134" s="96">
        <v>1879000</v>
      </c>
    </row>
    <row r="135" spans="1:15" x14ac:dyDescent="0.45">
      <c r="A135" s="95" t="str">
        <f t="shared" si="9"/>
        <v>RHS 100x80x3</v>
      </c>
      <c r="B135" s="95">
        <v>8.01</v>
      </c>
      <c r="C135" s="95">
        <v>100</v>
      </c>
      <c r="D135" s="95">
        <v>80</v>
      </c>
      <c r="E135" s="95">
        <v>3</v>
      </c>
      <c r="F135" s="95">
        <v>1021.0000000000001</v>
      </c>
      <c r="G135" s="95">
        <v>1488100</v>
      </c>
      <c r="H135" s="95">
        <v>29760</v>
      </c>
      <c r="I135" s="95">
        <v>35390</v>
      </c>
      <c r="J135" s="95">
        <f t="shared" ref="J135:J137" si="30">SQRT(G135/F135)</f>
        <v>38.177122131723451</v>
      </c>
      <c r="K135" s="95">
        <v>1056400</v>
      </c>
      <c r="L135" s="95">
        <v>26410</v>
      </c>
      <c r="M135" s="95">
        <v>30400</v>
      </c>
      <c r="N135" s="95">
        <f t="shared" ref="N135:N137" si="31">J135</f>
        <v>38.177122131723451</v>
      </c>
      <c r="O135" s="95">
        <v>1961000</v>
      </c>
    </row>
    <row r="136" spans="1:15" x14ac:dyDescent="0.45">
      <c r="A136" s="96" t="str">
        <f t="shared" si="9"/>
        <v>RHS 100x80x4</v>
      </c>
      <c r="B136" s="96">
        <v>10.48</v>
      </c>
      <c r="C136" s="96">
        <v>100</v>
      </c>
      <c r="D136" s="96">
        <v>80</v>
      </c>
      <c r="E136" s="96">
        <v>4</v>
      </c>
      <c r="F136" s="96">
        <v>1335</v>
      </c>
      <c r="G136" s="96">
        <v>1894600</v>
      </c>
      <c r="H136" s="96">
        <v>37890</v>
      </c>
      <c r="I136" s="96">
        <v>45620</v>
      </c>
      <c r="J136" s="96">
        <f t="shared" si="30"/>
        <v>37.671952829161206</v>
      </c>
      <c r="K136" s="96">
        <v>1341699.9999999998</v>
      </c>
      <c r="L136" s="96">
        <v>33540</v>
      </c>
      <c r="M136" s="96">
        <v>39150</v>
      </c>
      <c r="N136" s="96">
        <f t="shared" si="31"/>
        <v>37.671952829161206</v>
      </c>
      <c r="O136" s="96">
        <v>2538000</v>
      </c>
    </row>
    <row r="137" spans="1:15" x14ac:dyDescent="0.45">
      <c r="A137" s="95" t="str">
        <f t="shared" si="9"/>
        <v>RHS 100x80x5</v>
      </c>
      <c r="B137" s="95">
        <v>12.84</v>
      </c>
      <c r="C137" s="95">
        <v>100</v>
      </c>
      <c r="D137" s="95">
        <v>80</v>
      </c>
      <c r="E137" s="95">
        <v>5</v>
      </c>
      <c r="F137" s="95">
        <v>1636</v>
      </c>
      <c r="G137" s="95">
        <v>2259300</v>
      </c>
      <c r="H137" s="95">
        <v>45190</v>
      </c>
      <c r="I137" s="95">
        <v>55090</v>
      </c>
      <c r="J137" s="95">
        <f t="shared" si="30"/>
        <v>37.161676765841712</v>
      </c>
      <c r="K137" s="95">
        <v>1596000</v>
      </c>
      <c r="L137" s="95">
        <v>39900</v>
      </c>
      <c r="M137" s="95">
        <v>47230</v>
      </c>
      <c r="N137" s="95">
        <f t="shared" si="31"/>
        <v>37.161676765841712</v>
      </c>
      <c r="O137" s="95">
        <v>3075000</v>
      </c>
    </row>
    <row r="138" spans="1:15" x14ac:dyDescent="0.45">
      <c r="A138" s="96" t="str">
        <f t="shared" si="9"/>
        <v>RHS 120x60x3</v>
      </c>
      <c r="B138" s="96">
        <v>8.01</v>
      </c>
      <c r="C138" s="96">
        <v>120</v>
      </c>
      <c r="D138" s="96">
        <v>60</v>
      </c>
      <c r="E138" s="96">
        <v>3</v>
      </c>
      <c r="F138" s="96">
        <v>1021.0000000000001</v>
      </c>
      <c r="G138" s="96">
        <v>1891200</v>
      </c>
      <c r="H138" s="96">
        <v>31520</v>
      </c>
      <c r="I138" s="96">
        <v>39180</v>
      </c>
      <c r="J138" s="96">
        <f t="shared" ref="J138:J141" si="32">SQRT(G138/F138)</f>
        <v>43.038374330756035</v>
      </c>
      <c r="K138" s="96">
        <v>644000</v>
      </c>
      <c r="L138" s="96">
        <v>21470</v>
      </c>
      <c r="M138" s="96">
        <v>24210</v>
      </c>
      <c r="N138" s="96">
        <f t="shared" ref="N138:N141" si="33">J138</f>
        <v>43.038374330756035</v>
      </c>
      <c r="O138" s="96">
        <v>1563000</v>
      </c>
    </row>
    <row r="139" spans="1:15" x14ac:dyDescent="0.45">
      <c r="A139" s="95" t="str">
        <f t="shared" si="9"/>
        <v>RHS 120x60x4</v>
      </c>
      <c r="B139" s="95">
        <v>10.48</v>
      </c>
      <c r="C139" s="95">
        <v>120</v>
      </c>
      <c r="D139" s="95">
        <v>60</v>
      </c>
      <c r="E139" s="95">
        <v>4</v>
      </c>
      <c r="F139" s="95">
        <v>1335</v>
      </c>
      <c r="G139" s="95">
        <v>2407400</v>
      </c>
      <c r="H139" s="95">
        <v>40120</v>
      </c>
      <c r="I139" s="95">
        <v>50490</v>
      </c>
      <c r="J139" s="95">
        <f t="shared" si="32"/>
        <v>42.465231427013471</v>
      </c>
      <c r="K139" s="95">
        <v>812500</v>
      </c>
      <c r="L139" s="95">
        <v>27080</v>
      </c>
      <c r="M139" s="95">
        <v>31080</v>
      </c>
      <c r="N139" s="95">
        <f t="shared" si="33"/>
        <v>42.465231427013471</v>
      </c>
      <c r="O139" s="95">
        <v>2011000</v>
      </c>
    </row>
    <row r="140" spans="1:15" x14ac:dyDescent="0.45">
      <c r="A140" s="96" t="str">
        <f t="shared" si="9"/>
        <v>RHS 120x60x5</v>
      </c>
      <c r="B140" s="96">
        <v>12.84</v>
      </c>
      <c r="C140" s="96">
        <v>120</v>
      </c>
      <c r="D140" s="96">
        <v>60</v>
      </c>
      <c r="E140" s="96">
        <v>5</v>
      </c>
      <c r="F140" s="96">
        <v>1636</v>
      </c>
      <c r="G140" s="96">
        <v>2869700.0000000005</v>
      </c>
      <c r="H140" s="96">
        <v>47830</v>
      </c>
      <c r="I140" s="96">
        <v>60950</v>
      </c>
      <c r="J140" s="96">
        <f t="shared" si="32"/>
        <v>41.881921571523286</v>
      </c>
      <c r="K140" s="96">
        <v>959900</v>
      </c>
      <c r="L140" s="96">
        <v>32000</v>
      </c>
      <c r="M140" s="96">
        <v>37380</v>
      </c>
      <c r="N140" s="96">
        <f t="shared" si="33"/>
        <v>41.881921571523286</v>
      </c>
      <c r="O140" s="96">
        <v>2422000</v>
      </c>
    </row>
    <row r="141" spans="1:15" x14ac:dyDescent="0.45">
      <c r="A141" s="95" t="str">
        <f t="shared" si="9"/>
        <v>RHS 120x60x7</v>
      </c>
      <c r="B141" s="95">
        <v>16.899999999999999</v>
      </c>
      <c r="C141" s="95">
        <v>120</v>
      </c>
      <c r="D141" s="95">
        <v>60</v>
      </c>
      <c r="E141" s="95">
        <v>7</v>
      </c>
      <c r="F141" s="95">
        <v>2160</v>
      </c>
      <c r="G141" s="95">
        <v>3490000</v>
      </c>
      <c r="H141" s="95">
        <v>58120</v>
      </c>
      <c r="I141" s="95">
        <v>76800</v>
      </c>
      <c r="J141" s="95">
        <f t="shared" si="32"/>
        <v>40.19627769757718</v>
      </c>
      <c r="K141" s="95">
        <v>1160000</v>
      </c>
      <c r="L141" s="95">
        <v>38600</v>
      </c>
      <c r="M141" s="95">
        <v>47000</v>
      </c>
      <c r="N141" s="95">
        <f t="shared" si="33"/>
        <v>40.19627769757718</v>
      </c>
      <c r="O141" s="95">
        <v>3120000</v>
      </c>
    </row>
    <row r="142" spans="1:15" x14ac:dyDescent="0.45">
      <c r="A142" s="96" t="str">
        <f t="shared" si="9"/>
        <v>RHS 120x80x3</v>
      </c>
      <c r="B142" s="96">
        <v>8.9600000000000009</v>
      </c>
      <c r="C142" s="96">
        <v>120</v>
      </c>
      <c r="D142" s="96">
        <v>80</v>
      </c>
      <c r="E142" s="96">
        <v>3</v>
      </c>
      <c r="F142" s="96">
        <v>1141</v>
      </c>
      <c r="G142" s="96">
        <v>2301900</v>
      </c>
      <c r="H142" s="96">
        <v>38370</v>
      </c>
      <c r="I142" s="96">
        <v>46200</v>
      </c>
      <c r="J142" s="96">
        <f t="shared" ref="J142:J144" si="34">SQRT(G142/F142)</f>
        <v>44.915930819334264</v>
      </c>
      <c r="K142" s="96">
        <v>1234300</v>
      </c>
      <c r="L142" s="96">
        <v>30860</v>
      </c>
      <c r="M142" s="96">
        <v>35020</v>
      </c>
      <c r="N142" s="96">
        <f t="shared" ref="N142:N144" si="35">J142</f>
        <v>44.915930819334264</v>
      </c>
      <c r="O142" s="96">
        <v>2555000</v>
      </c>
    </row>
    <row r="143" spans="1:15" x14ac:dyDescent="0.45">
      <c r="A143" s="95" t="str">
        <f t="shared" si="9"/>
        <v>RHS 120x80x4</v>
      </c>
      <c r="B143" s="95">
        <v>11.73</v>
      </c>
      <c r="C143" s="95">
        <v>120</v>
      </c>
      <c r="D143" s="95">
        <v>80</v>
      </c>
      <c r="E143" s="95">
        <v>4</v>
      </c>
      <c r="F143" s="95">
        <v>1495</v>
      </c>
      <c r="G143" s="95">
        <v>2945800</v>
      </c>
      <c r="H143" s="95">
        <v>49100</v>
      </c>
      <c r="I143" s="95">
        <v>59770</v>
      </c>
      <c r="J143" s="95">
        <f t="shared" si="34"/>
        <v>44.389579662446636</v>
      </c>
      <c r="K143" s="95">
        <v>1572900</v>
      </c>
      <c r="L143" s="95">
        <v>39320</v>
      </c>
      <c r="M143" s="95">
        <v>45230</v>
      </c>
      <c r="N143" s="95">
        <f t="shared" si="35"/>
        <v>44.389579662446636</v>
      </c>
      <c r="O143" s="95">
        <v>3312000</v>
      </c>
    </row>
    <row r="144" spans="1:15" x14ac:dyDescent="0.45">
      <c r="A144" s="96" t="str">
        <f t="shared" si="9"/>
        <v>RHS 120x80x5</v>
      </c>
      <c r="B144" s="96">
        <v>14.41</v>
      </c>
      <c r="C144" s="96">
        <v>120</v>
      </c>
      <c r="D144" s="96">
        <v>80</v>
      </c>
      <c r="E144" s="96">
        <v>5</v>
      </c>
      <c r="F144" s="96">
        <v>1836</v>
      </c>
      <c r="G144" s="96">
        <v>3531400</v>
      </c>
      <c r="H144" s="96">
        <v>58860</v>
      </c>
      <c r="I144" s="96">
        <v>72450</v>
      </c>
      <c r="J144" s="96">
        <f t="shared" si="34"/>
        <v>43.856817934077618</v>
      </c>
      <c r="K144" s="96">
        <v>1877700</v>
      </c>
      <c r="L144" s="96">
        <v>46940</v>
      </c>
      <c r="M144" s="96">
        <v>54730</v>
      </c>
      <c r="N144" s="96">
        <f t="shared" si="35"/>
        <v>43.856817934077618</v>
      </c>
      <c r="O144" s="96">
        <v>4023000</v>
      </c>
    </row>
    <row r="145" spans="1:15" x14ac:dyDescent="0.45">
      <c r="A145" s="95" t="str">
        <f t="shared" si="9"/>
        <v>RHS 140x40x3</v>
      </c>
      <c r="B145" s="95">
        <v>8.01</v>
      </c>
      <c r="C145" s="95">
        <v>140</v>
      </c>
      <c r="D145" s="95">
        <v>40</v>
      </c>
      <c r="E145" s="95">
        <v>3</v>
      </c>
      <c r="F145" s="95">
        <v>1019.9999999999999</v>
      </c>
      <c r="G145" s="95">
        <v>2220000</v>
      </c>
      <c r="H145" s="95">
        <v>31700</v>
      </c>
      <c r="I145" s="95">
        <v>41800</v>
      </c>
      <c r="J145" s="95">
        <f t="shared" ref="J145:J146" si="36">SQRT(G145/F145)</f>
        <v>46.652658962113769</v>
      </c>
      <c r="K145" s="95">
        <v>299000</v>
      </c>
      <c r="L145" s="95">
        <v>15000</v>
      </c>
      <c r="M145" s="95">
        <v>16800</v>
      </c>
      <c r="N145" s="95">
        <f t="shared" ref="N145:N146" si="37">J145</f>
        <v>46.652658962113769</v>
      </c>
      <c r="O145" s="95">
        <v>903000</v>
      </c>
    </row>
    <row r="146" spans="1:15" x14ac:dyDescent="0.45">
      <c r="A146" s="96" t="str">
        <f t="shared" si="9"/>
        <v>RHS 140x40x4</v>
      </c>
      <c r="B146" s="96">
        <v>10.5</v>
      </c>
      <c r="C146" s="96">
        <v>140</v>
      </c>
      <c r="D146" s="96">
        <v>40</v>
      </c>
      <c r="E146" s="96">
        <v>4</v>
      </c>
      <c r="F146" s="96">
        <v>1330</v>
      </c>
      <c r="G146" s="96">
        <v>2820000</v>
      </c>
      <c r="H146" s="96">
        <v>40200</v>
      </c>
      <c r="I146" s="96">
        <v>53800</v>
      </c>
      <c r="J146" s="96">
        <f t="shared" si="36"/>
        <v>46.04672357377558</v>
      </c>
      <c r="K146" s="96">
        <v>371000</v>
      </c>
      <c r="L146" s="96">
        <v>18600</v>
      </c>
      <c r="M146" s="96">
        <v>21400</v>
      </c>
      <c r="N146" s="96">
        <f t="shared" si="37"/>
        <v>46.04672357377558</v>
      </c>
      <c r="O146" s="96">
        <v>1140000</v>
      </c>
    </row>
    <row r="147" spans="1:15" x14ac:dyDescent="0.45">
      <c r="A147" s="95" t="str">
        <f t="shared" si="9"/>
        <v>RHS 140x40x5</v>
      </c>
      <c r="B147" s="95">
        <v>12.8</v>
      </c>
      <c r="C147" s="95">
        <v>140</v>
      </c>
      <c r="D147" s="95">
        <v>40</v>
      </c>
      <c r="E147" s="95">
        <v>5</v>
      </c>
      <c r="F147" s="95">
        <v>1639.9999999999998</v>
      </c>
      <c r="G147" s="95">
        <v>3350000</v>
      </c>
      <c r="H147" s="95">
        <v>47800</v>
      </c>
      <c r="I147" s="95">
        <v>64800</v>
      </c>
      <c r="J147" s="95">
        <f>SQRT(G147/F147)</f>
        <v>45.196049902942498</v>
      </c>
      <c r="K147" s="95">
        <v>431000</v>
      </c>
      <c r="L147" s="95">
        <v>21500</v>
      </c>
      <c r="M147" s="95">
        <v>25500</v>
      </c>
      <c r="N147" s="95">
        <f>J147</f>
        <v>45.196049902942498</v>
      </c>
      <c r="O147" s="95">
        <v>1350000</v>
      </c>
    </row>
    <row r="148" spans="1:15" x14ac:dyDescent="0.45">
      <c r="A148" s="96" t="str">
        <f t="shared" si="9"/>
        <v>RHS 140x60x3</v>
      </c>
      <c r="B148" s="96">
        <v>8.9600000000000009</v>
      </c>
      <c r="C148" s="96">
        <v>140</v>
      </c>
      <c r="D148" s="96">
        <v>60</v>
      </c>
      <c r="E148" s="96">
        <v>3</v>
      </c>
      <c r="F148" s="96">
        <v>1140</v>
      </c>
      <c r="G148" s="96">
        <v>2780000</v>
      </c>
      <c r="H148" s="96">
        <v>39700</v>
      </c>
      <c r="I148" s="96">
        <v>50000</v>
      </c>
      <c r="J148" s="96">
        <f t="shared" ref="J148:J150" si="38">SQRT(G148/F148)</f>
        <v>49.382147495102622</v>
      </c>
      <c r="K148" s="96">
        <v>742000</v>
      </c>
      <c r="L148" s="96">
        <v>24700</v>
      </c>
      <c r="M148" s="96">
        <v>27600</v>
      </c>
      <c r="N148" s="96">
        <f t="shared" ref="N148:N150" si="39">J148</f>
        <v>49.382147495102622</v>
      </c>
      <c r="O148" s="96">
        <v>1920000</v>
      </c>
    </row>
    <row r="149" spans="1:15" x14ac:dyDescent="0.45">
      <c r="A149" s="95" t="str">
        <f t="shared" si="9"/>
        <v>RHS 140x60x4</v>
      </c>
      <c r="B149" s="95">
        <v>11.7</v>
      </c>
      <c r="C149" s="95">
        <v>140</v>
      </c>
      <c r="D149" s="95">
        <v>60</v>
      </c>
      <c r="E149" s="95">
        <v>4</v>
      </c>
      <c r="F149" s="95">
        <v>1490</v>
      </c>
      <c r="G149" s="95">
        <v>3560000</v>
      </c>
      <c r="H149" s="95">
        <v>50800</v>
      </c>
      <c r="I149" s="95">
        <v>64599.999999999993</v>
      </c>
      <c r="J149" s="95">
        <f t="shared" si="38"/>
        <v>48.880075132577723</v>
      </c>
      <c r="K149" s="95">
        <v>938000</v>
      </c>
      <c r="L149" s="95">
        <v>31300</v>
      </c>
      <c r="M149" s="95">
        <v>35600</v>
      </c>
      <c r="N149" s="95">
        <f t="shared" si="39"/>
        <v>48.880075132577723</v>
      </c>
      <c r="O149" s="95">
        <v>2470000</v>
      </c>
    </row>
    <row r="150" spans="1:15" x14ac:dyDescent="0.45">
      <c r="A150" s="96" t="str">
        <f t="shared" ref="A150:A177" si="40">"RHS "&amp;C150&amp;"x"&amp;D150&amp;"x"&amp;E150</f>
        <v>RHS 140x60x5</v>
      </c>
      <c r="B150" s="96">
        <v>14.4</v>
      </c>
      <c r="C150" s="96">
        <v>140</v>
      </c>
      <c r="D150" s="96">
        <v>60</v>
      </c>
      <c r="E150" s="96">
        <v>5</v>
      </c>
      <c r="F150" s="96">
        <v>1839.9999999999998</v>
      </c>
      <c r="G150" s="96">
        <v>4260000</v>
      </c>
      <c r="H150" s="96">
        <v>60800</v>
      </c>
      <c r="I150" s="96">
        <v>78300</v>
      </c>
      <c r="J150" s="96">
        <f t="shared" si="38"/>
        <v>48.116705948187558</v>
      </c>
      <c r="K150" s="96">
        <v>1110000</v>
      </c>
      <c r="L150" s="96">
        <v>37100</v>
      </c>
      <c r="M150" s="96">
        <v>42900</v>
      </c>
      <c r="N150" s="96">
        <f t="shared" si="39"/>
        <v>48.116705948187558</v>
      </c>
      <c r="O150" s="96">
        <v>2980000</v>
      </c>
    </row>
    <row r="151" spans="1:15" x14ac:dyDescent="0.45">
      <c r="A151" s="95" t="str">
        <f t="shared" si="40"/>
        <v>RHS 140x60x6</v>
      </c>
      <c r="B151" s="95">
        <v>17</v>
      </c>
      <c r="C151" s="95">
        <v>140</v>
      </c>
      <c r="D151" s="95">
        <v>60</v>
      </c>
      <c r="E151" s="95">
        <v>6</v>
      </c>
      <c r="F151" s="95">
        <v>2160</v>
      </c>
      <c r="G151" s="95">
        <v>4890000</v>
      </c>
      <c r="H151" s="95">
        <v>69900</v>
      </c>
      <c r="I151" s="95">
        <v>91000</v>
      </c>
      <c r="J151" s="95">
        <f>SQRT(G151/F151)</f>
        <v>47.580341412067327</v>
      </c>
      <c r="K151" s="95">
        <v>1260000</v>
      </c>
      <c r="L151" s="95">
        <v>42100</v>
      </c>
      <c r="M151" s="95">
        <v>49600</v>
      </c>
      <c r="N151" s="95">
        <f>J151</f>
        <v>47.580341412067327</v>
      </c>
      <c r="O151" s="95">
        <v>3440000</v>
      </c>
    </row>
    <row r="152" spans="1:15" x14ac:dyDescent="0.45">
      <c r="A152" s="96" t="str">
        <f t="shared" si="40"/>
        <v>RHS 140x80x3</v>
      </c>
      <c r="B152" s="96">
        <v>9.9</v>
      </c>
      <c r="C152" s="96">
        <v>140</v>
      </c>
      <c r="D152" s="96">
        <v>80</v>
      </c>
      <c r="E152" s="96">
        <v>3</v>
      </c>
      <c r="F152" s="96">
        <v>1260</v>
      </c>
      <c r="G152" s="96">
        <v>3340000</v>
      </c>
      <c r="H152" s="96">
        <v>47800</v>
      </c>
      <c r="I152" s="96">
        <v>58200</v>
      </c>
      <c r="J152" s="96">
        <f t="shared" ref="J152:J155" si="41">SQRT(G152/F152)</f>
        <v>51.485858745811463</v>
      </c>
      <c r="K152" s="96">
        <v>1410000</v>
      </c>
      <c r="L152" s="96">
        <v>35300</v>
      </c>
      <c r="M152" s="96">
        <v>39600</v>
      </c>
      <c r="N152" s="96">
        <f t="shared" ref="N152:N155" si="42">J152</f>
        <v>51.485858745811463</v>
      </c>
      <c r="O152" s="96">
        <v>3170000</v>
      </c>
    </row>
    <row r="153" spans="1:15" x14ac:dyDescent="0.45">
      <c r="A153" s="95" t="str">
        <f t="shared" si="40"/>
        <v>RHS 140x80x4</v>
      </c>
      <c r="B153" s="95">
        <v>12.99</v>
      </c>
      <c r="C153" s="95">
        <v>140</v>
      </c>
      <c r="D153" s="95">
        <v>80</v>
      </c>
      <c r="E153" s="95">
        <v>4</v>
      </c>
      <c r="F153" s="95">
        <v>1655</v>
      </c>
      <c r="G153" s="95">
        <v>4296000</v>
      </c>
      <c r="H153" s="95">
        <v>61370</v>
      </c>
      <c r="I153" s="95">
        <v>75510</v>
      </c>
      <c r="J153" s="95">
        <f t="shared" si="41"/>
        <v>50.948703543360601</v>
      </c>
      <c r="K153" s="95">
        <v>1804199.9999999998</v>
      </c>
      <c r="L153" s="95">
        <v>45100</v>
      </c>
      <c r="M153" s="95">
        <v>51310</v>
      </c>
      <c r="N153" s="95">
        <f t="shared" si="42"/>
        <v>50.948703543360601</v>
      </c>
      <c r="O153" s="95">
        <v>4116000</v>
      </c>
    </row>
    <row r="154" spans="1:15" x14ac:dyDescent="0.45">
      <c r="A154" s="96" t="str">
        <f t="shared" si="40"/>
        <v>RHS 140x80x5</v>
      </c>
      <c r="B154" s="96">
        <v>15.98</v>
      </c>
      <c r="C154" s="96">
        <v>140</v>
      </c>
      <c r="D154" s="96">
        <v>80</v>
      </c>
      <c r="E154" s="96">
        <v>5</v>
      </c>
      <c r="F154" s="96">
        <v>2036</v>
      </c>
      <c r="G154" s="96">
        <v>5170500</v>
      </c>
      <c r="H154" s="96">
        <v>73860</v>
      </c>
      <c r="I154" s="96">
        <v>91800</v>
      </c>
      <c r="J154" s="96">
        <f t="shared" si="41"/>
        <v>50.393832067154541</v>
      </c>
      <c r="K154" s="96">
        <v>2159400</v>
      </c>
      <c r="L154" s="96">
        <v>53980</v>
      </c>
      <c r="M154" s="96">
        <v>62230</v>
      </c>
      <c r="N154" s="96">
        <f t="shared" si="42"/>
        <v>50.393832067154541</v>
      </c>
      <c r="O154" s="96">
        <v>5005000</v>
      </c>
    </row>
    <row r="155" spans="1:15" x14ac:dyDescent="0.45">
      <c r="A155" s="95" t="str">
        <f t="shared" si="40"/>
        <v>RHS 140x80x7</v>
      </c>
      <c r="B155" s="95">
        <v>21.3</v>
      </c>
      <c r="C155" s="95">
        <v>140</v>
      </c>
      <c r="D155" s="95">
        <v>80</v>
      </c>
      <c r="E155" s="95">
        <v>7</v>
      </c>
      <c r="F155" s="95">
        <v>2720</v>
      </c>
      <c r="G155" s="95">
        <v>6490000</v>
      </c>
      <c r="H155" s="95">
        <v>92700</v>
      </c>
      <c r="I155" s="95">
        <v>118000</v>
      </c>
      <c r="J155" s="95">
        <f t="shared" si="41"/>
        <v>48.847000028299647</v>
      </c>
      <c r="K155" s="95">
        <v>2700000</v>
      </c>
      <c r="L155" s="95">
        <v>67500</v>
      </c>
      <c r="M155" s="95">
        <v>80200</v>
      </c>
      <c r="N155" s="95">
        <f t="shared" si="42"/>
        <v>48.847000028299647</v>
      </c>
      <c r="O155" s="95">
        <v>6610000</v>
      </c>
    </row>
    <row r="156" spans="1:15" x14ac:dyDescent="0.45">
      <c r="A156" s="96" t="str">
        <f t="shared" si="40"/>
        <v>RHS 150x50x3</v>
      </c>
      <c r="B156" s="96">
        <v>8.9600000000000009</v>
      </c>
      <c r="C156" s="96">
        <v>150</v>
      </c>
      <c r="D156" s="96">
        <v>50</v>
      </c>
      <c r="E156" s="96">
        <v>3</v>
      </c>
      <c r="F156" s="96">
        <v>1140</v>
      </c>
      <c r="G156" s="96">
        <v>2990000</v>
      </c>
      <c r="H156" s="96">
        <v>39800</v>
      </c>
      <c r="I156" s="96">
        <v>51400</v>
      </c>
      <c r="J156" s="96">
        <f t="shared" ref="J156:J159" si="43">SQRT(G156/F156)</f>
        <v>51.213348040758476</v>
      </c>
      <c r="K156" s="96">
        <v>526000</v>
      </c>
      <c r="L156" s="96">
        <v>21100</v>
      </c>
      <c r="M156" s="96">
        <v>23500</v>
      </c>
      <c r="N156" s="96">
        <f t="shared" ref="N156:N159" si="44">J156</f>
        <v>51.213348040758476</v>
      </c>
      <c r="O156" s="96">
        <v>1500000</v>
      </c>
    </row>
    <row r="157" spans="1:15" x14ac:dyDescent="0.45">
      <c r="A157" s="95" t="str">
        <f t="shared" si="40"/>
        <v>RHS 150x50x4</v>
      </c>
      <c r="B157" s="95">
        <v>11.7</v>
      </c>
      <c r="C157" s="95">
        <v>150</v>
      </c>
      <c r="D157" s="95">
        <v>50</v>
      </c>
      <c r="E157" s="95">
        <v>4</v>
      </c>
      <c r="F157" s="95">
        <v>1490</v>
      </c>
      <c r="G157" s="95">
        <v>3810000</v>
      </c>
      <c r="H157" s="95">
        <v>50900</v>
      </c>
      <c r="I157" s="95">
        <v>66500</v>
      </c>
      <c r="J157" s="95">
        <f t="shared" si="43"/>
        <v>50.567252049777949</v>
      </c>
      <c r="K157" s="95">
        <v>662000</v>
      </c>
      <c r="L157" s="95">
        <v>26500</v>
      </c>
      <c r="M157" s="95">
        <v>30100</v>
      </c>
      <c r="N157" s="95">
        <f t="shared" si="44"/>
        <v>50.567252049777949</v>
      </c>
      <c r="O157" s="95">
        <v>1920000</v>
      </c>
    </row>
    <row r="158" spans="1:15" x14ac:dyDescent="0.45">
      <c r="A158" s="96" t="str">
        <f t="shared" si="40"/>
        <v>RHS 150x50x5</v>
      </c>
      <c r="B158" s="96">
        <v>14.4</v>
      </c>
      <c r="C158" s="96">
        <v>150</v>
      </c>
      <c r="D158" s="96">
        <v>50</v>
      </c>
      <c r="E158" s="96">
        <v>5</v>
      </c>
      <c r="F158" s="96">
        <v>1839.9999999999998</v>
      </c>
      <c r="G158" s="96">
        <v>4560000</v>
      </c>
      <c r="H158" s="96">
        <v>60800</v>
      </c>
      <c r="I158" s="96">
        <v>80500</v>
      </c>
      <c r="J158" s="96">
        <f t="shared" si="43"/>
        <v>49.782134039886415</v>
      </c>
      <c r="K158" s="96">
        <v>779000</v>
      </c>
      <c r="L158" s="96">
        <v>31100</v>
      </c>
      <c r="M158" s="96">
        <v>36200</v>
      </c>
      <c r="N158" s="96">
        <f t="shared" si="44"/>
        <v>49.782134039886415</v>
      </c>
      <c r="O158" s="96">
        <v>2300000</v>
      </c>
    </row>
    <row r="159" spans="1:15" x14ac:dyDescent="0.45">
      <c r="A159" s="95" t="str">
        <f t="shared" si="40"/>
        <v>RHS 150x50x6</v>
      </c>
      <c r="B159" s="95">
        <v>17</v>
      </c>
      <c r="C159" s="95">
        <v>150</v>
      </c>
      <c r="D159" s="95">
        <v>50</v>
      </c>
      <c r="E159" s="95">
        <v>6</v>
      </c>
      <c r="F159" s="95">
        <v>2160</v>
      </c>
      <c r="G159" s="95">
        <v>5230000</v>
      </c>
      <c r="H159" s="95">
        <v>69800</v>
      </c>
      <c r="I159" s="95">
        <v>93500</v>
      </c>
      <c r="J159" s="95">
        <f t="shared" si="43"/>
        <v>49.206669225789874</v>
      </c>
      <c r="K159" s="95">
        <v>879000</v>
      </c>
      <c r="L159" s="95">
        <v>35200</v>
      </c>
      <c r="M159" s="95">
        <v>41700</v>
      </c>
      <c r="N159" s="95">
        <f t="shared" si="44"/>
        <v>49.206669225789874</v>
      </c>
      <c r="O159" s="95">
        <v>2640000</v>
      </c>
    </row>
    <row r="160" spans="1:15" x14ac:dyDescent="0.45">
      <c r="A160" s="96" t="str">
        <f t="shared" si="40"/>
        <v>RHS 150x100x3</v>
      </c>
      <c r="B160" s="96">
        <v>11.3</v>
      </c>
      <c r="C160" s="96">
        <v>150</v>
      </c>
      <c r="D160" s="96">
        <v>100</v>
      </c>
      <c r="E160" s="96">
        <v>3</v>
      </c>
      <c r="F160" s="96">
        <v>1440</v>
      </c>
      <c r="G160" s="96">
        <v>4610000</v>
      </c>
      <c r="H160" s="96">
        <v>61400</v>
      </c>
      <c r="I160" s="96">
        <v>73500</v>
      </c>
      <c r="J160" s="96">
        <f t="shared" ref="J160:J162" si="45">SQRT(G160/F160)</f>
        <v>56.580817322559852</v>
      </c>
      <c r="K160" s="96">
        <v>2480000</v>
      </c>
      <c r="L160" s="96">
        <v>49500</v>
      </c>
      <c r="M160" s="96">
        <v>55800</v>
      </c>
      <c r="N160" s="96">
        <f t="shared" ref="N160:N162" si="46">J160</f>
        <v>56.580817322559852</v>
      </c>
      <c r="O160" s="96">
        <v>5070000</v>
      </c>
    </row>
    <row r="161" spans="1:15" x14ac:dyDescent="0.45">
      <c r="A161" s="95" t="str">
        <f t="shared" si="40"/>
        <v>RHS 150x100x4</v>
      </c>
      <c r="B161" s="95">
        <v>14.87</v>
      </c>
      <c r="C161" s="95">
        <v>150</v>
      </c>
      <c r="D161" s="95">
        <v>100</v>
      </c>
      <c r="E161" s="95">
        <v>4</v>
      </c>
      <c r="F161" s="95">
        <v>1895</v>
      </c>
      <c r="G161" s="95">
        <v>5946000</v>
      </c>
      <c r="H161" s="95">
        <v>79280</v>
      </c>
      <c r="I161" s="95">
        <v>95670</v>
      </c>
      <c r="J161" s="95">
        <f t="shared" si="45"/>
        <v>56.015452070945578</v>
      </c>
      <c r="K161" s="95">
        <v>3185600</v>
      </c>
      <c r="L161" s="95">
        <v>63710</v>
      </c>
      <c r="M161" s="95">
        <v>72500</v>
      </c>
      <c r="N161" s="95">
        <f t="shared" si="46"/>
        <v>56.015452070945578</v>
      </c>
      <c r="O161" s="95">
        <v>6616000</v>
      </c>
    </row>
    <row r="162" spans="1:15" x14ac:dyDescent="0.45">
      <c r="A162" s="96" t="str">
        <f t="shared" si="40"/>
        <v>RHS 150x100x5</v>
      </c>
      <c r="B162" s="96">
        <v>18.329999999999998</v>
      </c>
      <c r="C162" s="96">
        <v>150</v>
      </c>
      <c r="D162" s="96">
        <v>100</v>
      </c>
      <c r="E162" s="96">
        <v>5</v>
      </c>
      <c r="F162" s="96">
        <v>2336</v>
      </c>
      <c r="G162" s="96">
        <v>7192000</v>
      </c>
      <c r="H162" s="96">
        <v>95890</v>
      </c>
      <c r="I162" s="96">
        <v>116730</v>
      </c>
      <c r="J162" s="96">
        <f t="shared" si="45"/>
        <v>55.486639142118449</v>
      </c>
      <c r="K162" s="96">
        <v>3840100</v>
      </c>
      <c r="L162" s="96">
        <v>76800</v>
      </c>
      <c r="M162" s="96">
        <v>88340</v>
      </c>
      <c r="N162" s="96">
        <f t="shared" si="46"/>
        <v>55.486639142118449</v>
      </c>
      <c r="O162" s="96">
        <v>8087000</v>
      </c>
    </row>
    <row r="163" spans="1:15" x14ac:dyDescent="0.45">
      <c r="A163" s="95" t="str">
        <f t="shared" si="40"/>
        <v>RHS 160x80x3</v>
      </c>
      <c r="B163" s="95">
        <v>10.8</v>
      </c>
      <c r="C163" s="95">
        <v>160</v>
      </c>
      <c r="D163" s="95">
        <v>80</v>
      </c>
      <c r="E163" s="95">
        <v>3</v>
      </c>
      <c r="F163" s="95">
        <v>1380</v>
      </c>
      <c r="G163" s="95">
        <v>4640000</v>
      </c>
      <c r="H163" s="95">
        <v>58000</v>
      </c>
      <c r="I163" s="95">
        <v>71400</v>
      </c>
      <c r="J163" s="95">
        <f t="shared" ref="J163:J165" si="47">SQRT(G163/F163)</f>
        <v>57.985505435235368</v>
      </c>
      <c r="K163" s="95">
        <v>1590000</v>
      </c>
      <c r="L163" s="95">
        <v>39800</v>
      </c>
      <c r="M163" s="95">
        <v>44300</v>
      </c>
      <c r="N163" s="95">
        <f t="shared" ref="N163:N165" si="48">J163</f>
        <v>57.985505435235368</v>
      </c>
      <c r="O163" s="95">
        <v>3800000</v>
      </c>
    </row>
    <row r="164" spans="1:15" x14ac:dyDescent="0.45">
      <c r="A164" s="96" t="str">
        <f t="shared" si="40"/>
        <v>RHS 160x80x4</v>
      </c>
      <c r="B164" s="96">
        <v>14.25</v>
      </c>
      <c r="C164" s="96">
        <v>160</v>
      </c>
      <c r="D164" s="96">
        <v>80</v>
      </c>
      <c r="E164" s="96">
        <v>4</v>
      </c>
      <c r="F164" s="96">
        <v>1814.9999999999998</v>
      </c>
      <c r="G164" s="96">
        <v>5977100</v>
      </c>
      <c r="H164" s="96">
        <v>74710</v>
      </c>
      <c r="I164" s="96">
        <v>92860</v>
      </c>
      <c r="J164" s="96">
        <f t="shared" si="47"/>
        <v>57.386131112640236</v>
      </c>
      <c r="K164" s="96">
        <v>2035400</v>
      </c>
      <c r="L164" s="96">
        <v>50890</v>
      </c>
      <c r="M164" s="96">
        <v>57390</v>
      </c>
      <c r="N164" s="96">
        <f t="shared" si="48"/>
        <v>57.386131112640236</v>
      </c>
      <c r="O164" s="96">
        <v>4941000</v>
      </c>
    </row>
    <row r="165" spans="1:15" x14ac:dyDescent="0.45">
      <c r="A165" s="95" t="str">
        <f t="shared" si="40"/>
        <v>RHS 160x80x5</v>
      </c>
      <c r="B165" s="95">
        <v>17.55</v>
      </c>
      <c r="C165" s="95">
        <v>160</v>
      </c>
      <c r="D165" s="95">
        <v>80</v>
      </c>
      <c r="E165" s="95">
        <v>5</v>
      </c>
      <c r="F165" s="95">
        <v>2236</v>
      </c>
      <c r="G165" s="95">
        <v>7216799.9999999991</v>
      </c>
      <c r="H165" s="95">
        <v>90210</v>
      </c>
      <c r="I165" s="95">
        <v>113160</v>
      </c>
      <c r="J165" s="95">
        <f t="shared" si="47"/>
        <v>56.811523434872392</v>
      </c>
      <c r="K165" s="95">
        <v>2441000</v>
      </c>
      <c r="L165" s="95">
        <v>61030</v>
      </c>
      <c r="M165" s="95">
        <v>69730</v>
      </c>
      <c r="N165" s="95">
        <f t="shared" si="48"/>
        <v>56.811523434872392</v>
      </c>
      <c r="O165" s="95">
        <v>6013000</v>
      </c>
    </row>
    <row r="166" spans="1:15" x14ac:dyDescent="0.45">
      <c r="A166" s="96" t="str">
        <f t="shared" si="40"/>
        <v>RHS 180x80x3</v>
      </c>
      <c r="B166" s="96">
        <v>11.8</v>
      </c>
      <c r="C166" s="96">
        <v>180</v>
      </c>
      <c r="D166" s="96">
        <v>80</v>
      </c>
      <c r="E166" s="96">
        <v>3</v>
      </c>
      <c r="F166" s="96">
        <v>1500</v>
      </c>
      <c r="G166" s="96">
        <v>6210000</v>
      </c>
      <c r="H166" s="96">
        <v>69000</v>
      </c>
      <c r="I166" s="96">
        <v>85800</v>
      </c>
      <c r="J166" s="96">
        <f t="shared" ref="J166:J171" si="49">SQRT(G166/F166)</f>
        <v>64.342831768581647</v>
      </c>
      <c r="K166" s="96">
        <v>1770000</v>
      </c>
      <c r="L166" s="96">
        <v>44200</v>
      </c>
      <c r="M166" s="96">
        <v>48900</v>
      </c>
      <c r="N166" s="96">
        <f t="shared" ref="N166:N171" si="50">J166</f>
        <v>64.342831768581647</v>
      </c>
      <c r="O166" s="96">
        <v>4450000</v>
      </c>
    </row>
    <row r="167" spans="1:15" x14ac:dyDescent="0.45">
      <c r="A167" s="95" t="str">
        <f t="shared" si="40"/>
        <v>RHS 180x80x4</v>
      </c>
      <c r="B167" s="95">
        <v>15.5</v>
      </c>
      <c r="C167" s="95">
        <v>180</v>
      </c>
      <c r="D167" s="95">
        <v>80</v>
      </c>
      <c r="E167" s="95">
        <v>4</v>
      </c>
      <c r="F167" s="95">
        <v>1970</v>
      </c>
      <c r="G167" s="95">
        <v>8020000</v>
      </c>
      <c r="H167" s="95">
        <v>89100</v>
      </c>
      <c r="I167" s="95">
        <v>112000</v>
      </c>
      <c r="J167" s="95">
        <f t="shared" si="49"/>
        <v>63.804905687946253</v>
      </c>
      <c r="K167" s="95">
        <v>2270000</v>
      </c>
      <c r="L167" s="95">
        <v>56700</v>
      </c>
      <c r="M167" s="95">
        <v>63500</v>
      </c>
      <c r="N167" s="95">
        <f t="shared" si="50"/>
        <v>63.804905687946253</v>
      </c>
      <c r="O167" s="95">
        <v>5780000</v>
      </c>
    </row>
    <row r="168" spans="1:15" x14ac:dyDescent="0.45">
      <c r="A168" s="96" t="str">
        <f t="shared" si="40"/>
        <v>RHS 180x80x5</v>
      </c>
      <c r="B168" s="96">
        <v>19.100000000000001</v>
      </c>
      <c r="C168" s="96">
        <v>180</v>
      </c>
      <c r="D168" s="96">
        <v>80</v>
      </c>
      <c r="E168" s="96">
        <v>5</v>
      </c>
      <c r="F168" s="96">
        <v>2440</v>
      </c>
      <c r="G168" s="96">
        <v>9710000</v>
      </c>
      <c r="H168" s="96">
        <v>108000</v>
      </c>
      <c r="I168" s="96">
        <v>137000</v>
      </c>
      <c r="J168" s="96">
        <f t="shared" si="49"/>
        <v>63.083343258908776</v>
      </c>
      <c r="K168" s="96">
        <v>2720000</v>
      </c>
      <c r="L168" s="96">
        <v>68100</v>
      </c>
      <c r="M168" s="96">
        <v>77200</v>
      </c>
      <c r="N168" s="96">
        <f t="shared" si="50"/>
        <v>63.083343258908776</v>
      </c>
      <c r="O168" s="96">
        <v>7040000</v>
      </c>
    </row>
    <row r="169" spans="1:15" x14ac:dyDescent="0.45">
      <c r="A169" s="95" t="str">
        <f t="shared" si="40"/>
        <v>RHS 180x80x6</v>
      </c>
      <c r="B169" s="95">
        <v>22.6</v>
      </c>
      <c r="C169" s="95">
        <v>180</v>
      </c>
      <c r="D169" s="95">
        <v>80</v>
      </c>
      <c r="E169" s="95">
        <v>6</v>
      </c>
      <c r="F169" s="95">
        <v>2880</v>
      </c>
      <c r="G169" s="95">
        <v>11280000</v>
      </c>
      <c r="H169" s="95">
        <v>125000</v>
      </c>
      <c r="I169" s="95">
        <v>160000</v>
      </c>
      <c r="J169" s="95">
        <f t="shared" si="49"/>
        <v>62.583277851728624</v>
      </c>
      <c r="K169" s="95">
        <v>3140000</v>
      </c>
      <c r="L169" s="95">
        <v>78500</v>
      </c>
      <c r="M169" s="95">
        <v>90200</v>
      </c>
      <c r="N169" s="95">
        <f t="shared" si="50"/>
        <v>62.583277851728624</v>
      </c>
      <c r="O169" s="95">
        <v>8230000</v>
      </c>
    </row>
    <row r="170" spans="1:15" x14ac:dyDescent="0.45">
      <c r="A170" s="96" t="str">
        <f t="shared" si="40"/>
        <v>RHS 180x80x7</v>
      </c>
      <c r="B170" s="96">
        <v>25.7</v>
      </c>
      <c r="C170" s="96">
        <v>180</v>
      </c>
      <c r="D170" s="96">
        <v>80</v>
      </c>
      <c r="E170" s="96">
        <v>7</v>
      </c>
      <c r="F170" s="96">
        <v>3279.9999999999995</v>
      </c>
      <c r="G170" s="96">
        <v>12390000</v>
      </c>
      <c r="H170" s="96">
        <v>138000</v>
      </c>
      <c r="I170" s="96">
        <v>178000</v>
      </c>
      <c r="J170" s="96">
        <f t="shared" si="49"/>
        <v>61.460873931227532</v>
      </c>
      <c r="K170" s="96">
        <v>3450000</v>
      </c>
      <c r="L170" s="96">
        <v>86200</v>
      </c>
      <c r="M170" s="96">
        <v>101000</v>
      </c>
      <c r="N170" s="96">
        <f t="shared" si="50"/>
        <v>61.460873931227532</v>
      </c>
      <c r="O170" s="96">
        <v>9340000</v>
      </c>
    </row>
    <row r="171" spans="1:15" x14ac:dyDescent="0.45">
      <c r="A171" s="95" t="str">
        <f t="shared" si="40"/>
        <v>RHS 180x80x8</v>
      </c>
      <c r="B171" s="95">
        <v>28.9</v>
      </c>
      <c r="C171" s="95">
        <v>180</v>
      </c>
      <c r="D171" s="95">
        <v>80</v>
      </c>
      <c r="E171" s="95">
        <v>8</v>
      </c>
      <c r="F171" s="95">
        <v>3679.9999999999995</v>
      </c>
      <c r="G171" s="95">
        <v>13620000</v>
      </c>
      <c r="H171" s="95">
        <v>151000</v>
      </c>
      <c r="I171" s="95">
        <v>198000</v>
      </c>
      <c r="J171" s="95">
        <f t="shared" si="49"/>
        <v>60.836559374456243</v>
      </c>
      <c r="K171" s="95">
        <v>3770000</v>
      </c>
      <c r="L171" s="95">
        <v>94100</v>
      </c>
      <c r="M171" s="95">
        <v>111000</v>
      </c>
      <c r="N171" s="95">
        <f t="shared" si="50"/>
        <v>60.836559374456243</v>
      </c>
      <c r="O171" s="95">
        <v>10360000</v>
      </c>
    </row>
    <row r="172" spans="1:15" x14ac:dyDescent="0.45">
      <c r="A172" s="96" t="str">
        <f t="shared" si="40"/>
        <v>RHS 200x100x3</v>
      </c>
      <c r="B172" s="96">
        <v>13.67</v>
      </c>
      <c r="C172" s="96">
        <v>200</v>
      </c>
      <c r="D172" s="96">
        <v>100</v>
      </c>
      <c r="E172" s="96">
        <v>3</v>
      </c>
      <c r="F172" s="96">
        <v>1741</v>
      </c>
      <c r="G172" s="96">
        <v>9243300</v>
      </c>
      <c r="H172" s="96">
        <v>92430</v>
      </c>
      <c r="I172" s="96">
        <v>113250</v>
      </c>
      <c r="J172" s="96">
        <f t="shared" ref="J172:J175" si="51">SQRT(G172/F172)</f>
        <v>72.864189562639979</v>
      </c>
      <c r="K172" s="96">
        <v>3182300</v>
      </c>
      <c r="L172" s="96">
        <v>63650</v>
      </c>
      <c r="M172" s="96">
        <v>70310</v>
      </c>
      <c r="N172" s="96">
        <f t="shared" ref="N172:N175" si="52">J172</f>
        <v>72.864189562639979</v>
      </c>
      <c r="O172" s="96">
        <v>7543000</v>
      </c>
    </row>
    <row r="173" spans="1:15" x14ac:dyDescent="0.45">
      <c r="A173" s="95" t="str">
        <f t="shared" si="40"/>
        <v>RHS 200x100x4</v>
      </c>
      <c r="B173" s="95">
        <v>18.010000000000002</v>
      </c>
      <c r="C173" s="95">
        <v>200</v>
      </c>
      <c r="D173" s="95">
        <v>100</v>
      </c>
      <c r="E173" s="95">
        <v>4</v>
      </c>
      <c r="F173" s="95">
        <v>2295</v>
      </c>
      <c r="G173" s="95">
        <v>11997000</v>
      </c>
      <c r="H173" s="95">
        <v>119970</v>
      </c>
      <c r="I173" s="95">
        <v>148040</v>
      </c>
      <c r="J173" s="95">
        <f t="shared" si="51"/>
        <v>72.301113272149252</v>
      </c>
      <c r="K173" s="95">
        <v>4107799.9999999995</v>
      </c>
      <c r="L173" s="95">
        <v>82160</v>
      </c>
      <c r="M173" s="95">
        <v>91700</v>
      </c>
      <c r="N173" s="95">
        <f t="shared" si="52"/>
        <v>72.301113272149252</v>
      </c>
      <c r="O173" s="95">
        <v>9854000</v>
      </c>
    </row>
    <row r="174" spans="1:15" x14ac:dyDescent="0.45">
      <c r="A174" s="96" t="str">
        <f t="shared" si="40"/>
        <v>RHS 200x100x5</v>
      </c>
      <c r="B174" s="96">
        <v>22.26</v>
      </c>
      <c r="C174" s="96">
        <v>200</v>
      </c>
      <c r="D174" s="96">
        <v>100</v>
      </c>
      <c r="E174" s="96">
        <v>5</v>
      </c>
      <c r="F174" s="96">
        <v>2836</v>
      </c>
      <c r="G174" s="96">
        <v>14592500</v>
      </c>
      <c r="H174" s="96">
        <v>145920</v>
      </c>
      <c r="I174" s="96">
        <v>181370</v>
      </c>
      <c r="J174" s="96">
        <f t="shared" si="51"/>
        <v>71.731801454552738</v>
      </c>
      <c r="K174" s="96">
        <v>4969300</v>
      </c>
      <c r="L174" s="96">
        <v>99390</v>
      </c>
      <c r="M174" s="96">
        <v>112090</v>
      </c>
      <c r="N174" s="96">
        <f t="shared" si="52"/>
        <v>71.731801454552738</v>
      </c>
      <c r="O174" s="96">
        <v>12063000</v>
      </c>
    </row>
    <row r="175" spans="1:15" x14ac:dyDescent="0.45">
      <c r="A175" s="47" t="str">
        <f t="shared" si="40"/>
        <v>RHS 200x100x6</v>
      </c>
      <c r="B175" s="47">
        <v>26.4</v>
      </c>
      <c r="C175" s="47">
        <v>200</v>
      </c>
      <c r="D175" s="47">
        <v>100</v>
      </c>
      <c r="E175" s="47">
        <v>6</v>
      </c>
      <c r="F175" s="47">
        <v>3363.0000000000005</v>
      </c>
      <c r="G175" s="47">
        <v>17033000</v>
      </c>
      <c r="H175" s="47">
        <v>170330</v>
      </c>
      <c r="I175" s="47">
        <v>213270</v>
      </c>
      <c r="J175" s="47">
        <f t="shared" si="51"/>
        <v>71.167570385926069</v>
      </c>
      <c r="K175" s="47">
        <v>5769100</v>
      </c>
      <c r="L175" s="47">
        <v>115380</v>
      </c>
      <c r="M175" s="47">
        <v>131500</v>
      </c>
      <c r="N175" s="47">
        <f t="shared" si="52"/>
        <v>71.167570385926069</v>
      </c>
      <c r="O175" s="47">
        <v>14170000</v>
      </c>
    </row>
    <row r="176" spans="1:15" x14ac:dyDescent="0.45">
      <c r="A176" s="47" t="str">
        <f t="shared" si="40"/>
        <v>RHS 200x150x3</v>
      </c>
      <c r="B176" s="47">
        <v>16</v>
      </c>
      <c r="C176" s="47">
        <v>200</v>
      </c>
      <c r="D176" s="47">
        <v>150</v>
      </c>
      <c r="E176" s="47">
        <v>3</v>
      </c>
      <c r="F176" s="47">
        <v>2039.9999999999998</v>
      </c>
      <c r="G176" s="47">
        <v>12150000</v>
      </c>
      <c r="H176" s="47">
        <v>122000</v>
      </c>
      <c r="I176" s="47">
        <v>143000</v>
      </c>
      <c r="J176" s="47">
        <f t="shared" ref="J176:J177" si="53">SQRT(G176/F176)</f>
        <v>77.174363314128982</v>
      </c>
      <c r="K176" s="47">
        <v>7850000</v>
      </c>
      <c r="L176" s="47">
        <v>105000</v>
      </c>
      <c r="M176" s="47">
        <v>118000</v>
      </c>
      <c r="N176" s="47">
        <f t="shared" ref="N176:N177" si="54">J176</f>
        <v>77.174363314128982</v>
      </c>
      <c r="O176" s="47">
        <v>14780000</v>
      </c>
    </row>
    <row r="177" spans="1:15" x14ac:dyDescent="0.45">
      <c r="A177" s="47" t="str">
        <f t="shared" si="40"/>
        <v>RHS 200x150x4</v>
      </c>
      <c r="B177" s="47">
        <v>21.15</v>
      </c>
      <c r="C177" s="47">
        <v>200</v>
      </c>
      <c r="D177" s="47">
        <v>150</v>
      </c>
      <c r="E177" s="47">
        <v>4</v>
      </c>
      <c r="F177" s="47">
        <v>2695</v>
      </c>
      <c r="G177" s="47">
        <v>15839200</v>
      </c>
      <c r="H177" s="47">
        <v>158390</v>
      </c>
      <c r="I177" s="47">
        <v>187240</v>
      </c>
      <c r="J177" s="47">
        <f t="shared" si="53"/>
        <v>76.663251785956945</v>
      </c>
      <c r="K177" s="47">
        <v>10210300</v>
      </c>
      <c r="L177" s="47">
        <v>136140</v>
      </c>
      <c r="M177" s="47">
        <v>154070</v>
      </c>
      <c r="N177" s="47">
        <f t="shared" si="54"/>
        <v>76.663251785956945</v>
      </c>
      <c r="O177" s="47">
        <v>19420000</v>
      </c>
    </row>
    <row r="178" spans="1:15" x14ac:dyDescent="0.45">
      <c r="A178" s="47" t="str">
        <f t="shared" ref="A178:A182" si="55">"RHS "&amp;C178&amp;"x"&amp;D178&amp;"x"&amp;E178</f>
        <v>RHS 200x150x5</v>
      </c>
      <c r="B178" s="47">
        <v>26.18</v>
      </c>
      <c r="C178" s="47">
        <v>200</v>
      </c>
      <c r="D178" s="47">
        <v>150</v>
      </c>
      <c r="E178" s="47">
        <v>5</v>
      </c>
      <c r="F178" s="47">
        <v>3336</v>
      </c>
      <c r="G178" s="47">
        <v>19346600</v>
      </c>
      <c r="H178" s="47">
        <v>193470</v>
      </c>
      <c r="I178" s="47">
        <v>230120</v>
      </c>
      <c r="J178" s="47">
        <f t="shared" ref="J178:J182" si="56">SQRT(G178/F178)</f>
        <v>76.153401286993983</v>
      </c>
      <c r="K178" s="47">
        <v>12450300</v>
      </c>
      <c r="L178" s="47">
        <v>166000</v>
      </c>
      <c r="M178" s="47">
        <v>189230</v>
      </c>
      <c r="N178" s="47">
        <f t="shared" ref="N178:N182" si="57">J178</f>
        <v>76.153401286993983</v>
      </c>
      <c r="O178" s="47">
        <v>23914000</v>
      </c>
    </row>
    <row r="179" spans="1:15" x14ac:dyDescent="0.45">
      <c r="A179" s="47" t="str">
        <f t="shared" si="55"/>
        <v>RHS 200x150x6</v>
      </c>
      <c r="B179" s="47">
        <v>31.11</v>
      </c>
      <c r="C179" s="47">
        <v>200</v>
      </c>
      <c r="D179" s="47">
        <v>150</v>
      </c>
      <c r="E179" s="47">
        <v>6</v>
      </c>
      <c r="F179" s="47">
        <v>3963.0000000000005</v>
      </c>
      <c r="G179" s="47">
        <v>22680200</v>
      </c>
      <c r="H179" s="47">
        <v>226800</v>
      </c>
      <c r="I179" s="47">
        <v>271470</v>
      </c>
      <c r="J179" s="47">
        <f t="shared" si="56"/>
        <v>75.650430505249417</v>
      </c>
      <c r="K179" s="47">
        <v>14571099.999999998</v>
      </c>
      <c r="L179" s="47">
        <v>194280</v>
      </c>
      <c r="M179" s="47">
        <v>223080</v>
      </c>
      <c r="N179" s="47">
        <f t="shared" si="57"/>
        <v>75.650430505249417</v>
      </c>
      <c r="O179" s="47">
        <v>28262000</v>
      </c>
    </row>
    <row r="180" spans="1:15" x14ac:dyDescent="0.45">
      <c r="A180" s="47" t="str">
        <f t="shared" si="55"/>
        <v>RHS 200x150x8</v>
      </c>
      <c r="B180" s="47">
        <v>40.200000000000003</v>
      </c>
      <c r="C180" s="47">
        <v>200</v>
      </c>
      <c r="D180" s="47">
        <v>150</v>
      </c>
      <c r="E180" s="47">
        <v>8</v>
      </c>
      <c r="F180" s="47">
        <v>5120</v>
      </c>
      <c r="G180" s="47">
        <v>28290000</v>
      </c>
      <c r="H180" s="47">
        <v>283000</v>
      </c>
      <c r="I180" s="47">
        <v>344000</v>
      </c>
      <c r="J180" s="47">
        <f t="shared" si="56"/>
        <v>74.332971318251495</v>
      </c>
      <c r="K180" s="47">
        <v>18160000</v>
      </c>
      <c r="L180" s="47">
        <v>242000</v>
      </c>
      <c r="M180" s="47">
        <v>283000</v>
      </c>
      <c r="N180" s="47">
        <f t="shared" si="57"/>
        <v>74.332971318251495</v>
      </c>
      <c r="O180" s="47">
        <v>36650000</v>
      </c>
    </row>
    <row r="181" spans="1:15" x14ac:dyDescent="0.45">
      <c r="A181" s="47" t="str">
        <f t="shared" si="55"/>
        <v>RHS 200x150x10</v>
      </c>
      <c r="B181" s="47">
        <v>49.1</v>
      </c>
      <c r="C181" s="47">
        <v>200</v>
      </c>
      <c r="D181" s="47">
        <v>150</v>
      </c>
      <c r="E181" s="47">
        <v>10</v>
      </c>
      <c r="F181" s="47">
        <v>6260</v>
      </c>
      <c r="G181" s="47">
        <v>33480000</v>
      </c>
      <c r="H181" s="47">
        <v>335000</v>
      </c>
      <c r="I181" s="47">
        <v>413000</v>
      </c>
      <c r="J181" s="47">
        <f t="shared" si="56"/>
        <v>73.131681311874658</v>
      </c>
      <c r="K181" s="47">
        <v>21430000</v>
      </c>
      <c r="L181" s="47">
        <v>286000</v>
      </c>
      <c r="M181" s="47">
        <v>339000</v>
      </c>
      <c r="N181" s="47">
        <f t="shared" si="57"/>
        <v>73.131681311874658</v>
      </c>
      <c r="O181" s="47">
        <v>44280000</v>
      </c>
    </row>
    <row r="182" spans="1:15" x14ac:dyDescent="0.45">
      <c r="A182" s="47" t="str">
        <f t="shared" si="55"/>
        <v>RHS 200x150x12</v>
      </c>
      <c r="B182" s="47">
        <v>56.6</v>
      </c>
      <c r="C182" s="47">
        <v>200</v>
      </c>
      <c r="D182" s="47">
        <v>150</v>
      </c>
      <c r="E182" s="47">
        <v>12</v>
      </c>
      <c r="F182" s="47">
        <v>7209.9999999999991</v>
      </c>
      <c r="G182" s="47">
        <v>36680000</v>
      </c>
      <c r="H182" s="47">
        <v>367000</v>
      </c>
      <c r="I182" s="47">
        <v>463000</v>
      </c>
      <c r="J182" s="47">
        <f t="shared" si="56"/>
        <v>71.325862355646976</v>
      </c>
      <c r="K182" s="47">
        <v>23530000</v>
      </c>
      <c r="L182" s="47">
        <v>314000</v>
      </c>
      <c r="M182" s="47">
        <v>380000</v>
      </c>
      <c r="N182" s="47">
        <f t="shared" si="57"/>
        <v>71.325862355646976</v>
      </c>
      <c r="O182" s="47">
        <v>50990000</v>
      </c>
    </row>
    <row r="183" spans="1:15" x14ac:dyDescent="0.45">
      <c r="A183" s="47" t="str">
        <f t="shared" ref="A183:A189" si="58">"RHS "&amp;C183&amp;"x"&amp;D183&amp;"x"&amp;E183</f>
        <v>RHS 250x100x3</v>
      </c>
      <c r="B183" s="47">
        <v>16.02</v>
      </c>
      <c r="C183" s="47">
        <v>250</v>
      </c>
      <c r="D183" s="47">
        <v>100</v>
      </c>
      <c r="E183" s="47">
        <v>3</v>
      </c>
      <c r="F183" s="47">
        <v>2041</v>
      </c>
      <c r="G183" s="47">
        <v>16056300.000000002</v>
      </c>
      <c r="H183" s="47">
        <v>128449.99999999999</v>
      </c>
      <c r="I183" s="47">
        <v>160520</v>
      </c>
      <c r="J183" s="47">
        <f t="shared" ref="J183:J189" si="59">SQRT(G183/F183)</f>
        <v>88.695428184837809</v>
      </c>
      <c r="K183" s="47">
        <v>3888200</v>
      </c>
      <c r="L183" s="47">
        <v>77760</v>
      </c>
      <c r="M183" s="47">
        <v>84860</v>
      </c>
      <c r="N183" s="47">
        <f t="shared" ref="N183:N189" si="60">J183</f>
        <v>88.695428184837809</v>
      </c>
      <c r="O183" s="47">
        <v>10117000</v>
      </c>
    </row>
    <row r="184" spans="1:15" x14ac:dyDescent="0.45">
      <c r="A184" s="47" t="str">
        <f t="shared" si="58"/>
        <v>RHS 250x100x4</v>
      </c>
      <c r="B184" s="47">
        <v>21.15</v>
      </c>
      <c r="C184" s="47">
        <v>250</v>
      </c>
      <c r="D184" s="47">
        <v>100</v>
      </c>
      <c r="E184" s="47">
        <v>4</v>
      </c>
      <c r="F184" s="47">
        <v>2695</v>
      </c>
      <c r="G184" s="47">
        <v>20916500</v>
      </c>
      <c r="H184" s="47">
        <v>167330</v>
      </c>
      <c r="I184" s="47">
        <v>210410</v>
      </c>
      <c r="J184" s="47">
        <f t="shared" si="59"/>
        <v>88.097812060209066</v>
      </c>
      <c r="K184" s="47">
        <v>5029900</v>
      </c>
      <c r="L184" s="47">
        <v>100600</v>
      </c>
      <c r="M184" s="47">
        <v>110900</v>
      </c>
      <c r="N184" s="47">
        <f t="shared" si="60"/>
        <v>88.097812060209066</v>
      </c>
      <c r="O184" s="47">
        <v>13225000</v>
      </c>
    </row>
    <row r="185" spans="1:15" x14ac:dyDescent="0.45">
      <c r="A185" s="47" t="str">
        <f t="shared" si="58"/>
        <v>RHS 250x100x5</v>
      </c>
      <c r="B185" s="47">
        <v>26.18</v>
      </c>
      <c r="C185" s="47">
        <v>250</v>
      </c>
      <c r="D185" s="47">
        <v>100</v>
      </c>
      <c r="E185" s="47">
        <v>5</v>
      </c>
      <c r="F185" s="47">
        <v>3336</v>
      </c>
      <c r="G185" s="47">
        <v>25537500</v>
      </c>
      <c r="H185" s="47">
        <v>204300</v>
      </c>
      <c r="I185" s="47">
        <v>258510</v>
      </c>
      <c r="J185" s="47">
        <f t="shared" si="59"/>
        <v>87.493576331526043</v>
      </c>
      <c r="K185" s="47">
        <v>6098500</v>
      </c>
      <c r="L185" s="47">
        <v>121970</v>
      </c>
      <c r="M185" s="47">
        <v>135840</v>
      </c>
      <c r="N185" s="47">
        <f t="shared" si="60"/>
        <v>87.493576331526043</v>
      </c>
      <c r="O185" s="47">
        <v>16201000</v>
      </c>
    </row>
    <row r="186" spans="1:15" x14ac:dyDescent="0.45">
      <c r="A186" s="47" t="str">
        <f t="shared" si="58"/>
        <v>RHS 250x100x6</v>
      </c>
      <c r="B186" s="47">
        <v>31.11</v>
      </c>
      <c r="C186" s="47">
        <v>250</v>
      </c>
      <c r="D186" s="47">
        <v>100</v>
      </c>
      <c r="E186" s="47">
        <v>6</v>
      </c>
      <c r="F186" s="47">
        <v>3963.0000000000005</v>
      </c>
      <c r="G186" s="47">
        <v>29923300</v>
      </c>
      <c r="H186" s="47">
        <v>239390</v>
      </c>
      <c r="I186" s="47">
        <v>304850</v>
      </c>
      <c r="J186" s="47">
        <f t="shared" si="59"/>
        <v>86.894583751459379</v>
      </c>
      <c r="K186" s="47">
        <v>7096300</v>
      </c>
      <c r="L186" s="47">
        <v>141930</v>
      </c>
      <c r="M186" s="47">
        <v>159700</v>
      </c>
      <c r="N186" s="47">
        <f t="shared" si="60"/>
        <v>86.894583751459379</v>
      </c>
      <c r="O186" s="47">
        <v>19045000</v>
      </c>
    </row>
    <row r="187" spans="1:15" x14ac:dyDescent="0.45">
      <c r="A187" s="47" t="str">
        <f t="shared" si="58"/>
        <v>RHS 250x100x8</v>
      </c>
      <c r="B187" s="47">
        <v>40.200000000000003</v>
      </c>
      <c r="C187" s="47">
        <v>250</v>
      </c>
      <c r="D187" s="47">
        <v>100</v>
      </c>
      <c r="E187" s="47">
        <v>8</v>
      </c>
      <c r="F187" s="47">
        <v>5120</v>
      </c>
      <c r="G187" s="47">
        <v>37140000</v>
      </c>
      <c r="H187" s="47">
        <v>297000</v>
      </c>
      <c r="I187" s="47">
        <v>385000</v>
      </c>
      <c r="J187" s="47">
        <f t="shared" si="59"/>
        <v>85.1698670305408</v>
      </c>
      <c r="K187" s="47">
        <v>8750000</v>
      </c>
      <c r="L187" s="47">
        <v>175000</v>
      </c>
      <c r="M187" s="47">
        <v>201000</v>
      </c>
      <c r="N187" s="47">
        <f t="shared" si="60"/>
        <v>85.1698670305408</v>
      </c>
      <c r="O187" s="47">
        <v>24390000</v>
      </c>
    </row>
    <row r="188" spans="1:15" x14ac:dyDescent="0.45">
      <c r="A188" s="47" t="str">
        <f t="shared" si="58"/>
        <v>RHS 250x100x10</v>
      </c>
      <c r="B188" s="47">
        <v>49.1</v>
      </c>
      <c r="C188" s="47">
        <v>250</v>
      </c>
      <c r="D188" s="47">
        <v>100</v>
      </c>
      <c r="E188" s="47">
        <v>10</v>
      </c>
      <c r="F188" s="47">
        <v>6260</v>
      </c>
      <c r="G188" s="47">
        <v>43840000</v>
      </c>
      <c r="H188" s="47">
        <v>351000</v>
      </c>
      <c r="I188" s="47">
        <v>462000</v>
      </c>
      <c r="J188" s="47">
        <f t="shared" si="59"/>
        <v>83.685093584096052</v>
      </c>
      <c r="K188" s="47">
        <v>10210000</v>
      </c>
      <c r="L188" s="47">
        <v>204000</v>
      </c>
      <c r="M188" s="47">
        <v>240000</v>
      </c>
      <c r="N188" s="47">
        <f t="shared" si="60"/>
        <v>83.685093584096052</v>
      </c>
      <c r="O188" s="47">
        <v>29100000</v>
      </c>
    </row>
    <row r="189" spans="1:15" x14ac:dyDescent="0.45">
      <c r="A189" s="47" t="str">
        <f t="shared" si="58"/>
        <v>RHS 250x100x12</v>
      </c>
      <c r="B189" s="47">
        <v>56.6</v>
      </c>
      <c r="C189" s="47">
        <v>250</v>
      </c>
      <c r="D189" s="47">
        <v>100</v>
      </c>
      <c r="E189" s="47">
        <v>12</v>
      </c>
      <c r="F189" s="47">
        <v>7209.9999999999991</v>
      </c>
      <c r="G189" s="47">
        <v>47570000</v>
      </c>
      <c r="H189" s="47">
        <v>381000</v>
      </c>
      <c r="I189" s="47">
        <v>515000</v>
      </c>
      <c r="J189" s="47">
        <f t="shared" si="59"/>
        <v>81.226725035032544</v>
      </c>
      <c r="K189" s="47">
        <v>11090000</v>
      </c>
      <c r="L189" s="47">
        <v>222000</v>
      </c>
      <c r="M189" s="47">
        <v>268000</v>
      </c>
      <c r="N189" s="47">
        <f t="shared" si="60"/>
        <v>81.226725035032544</v>
      </c>
      <c r="O189" s="47">
        <v>32870000</v>
      </c>
    </row>
    <row r="190" spans="1:15" x14ac:dyDescent="0.45">
      <c r="A190" s="47" t="str">
        <f>"RHS "&amp;C190&amp;"x"&amp;D190&amp;"x"&amp;E190</f>
        <v>RHS 250x150x4</v>
      </c>
      <c r="B190" s="47">
        <v>24.3</v>
      </c>
      <c r="C190" s="47">
        <v>250</v>
      </c>
      <c r="D190" s="47">
        <v>150</v>
      </c>
      <c r="E190" s="47">
        <v>4</v>
      </c>
      <c r="F190" s="47">
        <v>3090</v>
      </c>
      <c r="G190" s="47">
        <v>26970000</v>
      </c>
      <c r="H190" s="47">
        <v>216000</v>
      </c>
      <c r="I190" s="47">
        <v>260000</v>
      </c>
      <c r="J190" s="47">
        <f>SQRT(G190/F190)</f>
        <v>93.424597081313792</v>
      </c>
      <c r="K190" s="47">
        <v>12340000</v>
      </c>
      <c r="L190" s="47">
        <v>165000</v>
      </c>
      <c r="M190" s="47">
        <v>183000</v>
      </c>
      <c r="N190" s="47">
        <f>J190</f>
        <v>93.424597081313792</v>
      </c>
      <c r="O190" s="47">
        <v>26650000</v>
      </c>
    </row>
    <row r="191" spans="1:15" x14ac:dyDescent="0.45">
      <c r="A191" s="47" t="str">
        <f t="shared" ref="A191:A193" si="61">"RHS "&amp;C191&amp;"x"&amp;D191&amp;"x"&amp;E191</f>
        <v>RHS 300x100x4</v>
      </c>
      <c r="B191" s="47">
        <v>24.3</v>
      </c>
      <c r="C191" s="47">
        <v>300</v>
      </c>
      <c r="D191" s="47">
        <v>100</v>
      </c>
      <c r="E191" s="47">
        <v>4</v>
      </c>
      <c r="F191" s="47">
        <v>3090</v>
      </c>
      <c r="G191" s="47">
        <v>33200000</v>
      </c>
      <c r="H191" s="47">
        <v>221000</v>
      </c>
      <c r="I191" s="47">
        <v>283000</v>
      </c>
      <c r="J191" s="47">
        <f t="shared" ref="J191:J193" si="62">SQRT(G191/F191)</f>
        <v>103.65489168186558</v>
      </c>
      <c r="K191" s="47">
        <v>5950000</v>
      </c>
      <c r="L191" s="47">
        <v>119000</v>
      </c>
      <c r="M191" s="47">
        <v>130000</v>
      </c>
      <c r="N191" s="47">
        <f t="shared" ref="N191:N193" si="63">J191</f>
        <v>103.65489168186558</v>
      </c>
      <c r="O191" s="47">
        <v>16680000</v>
      </c>
    </row>
    <row r="192" spans="1:15" x14ac:dyDescent="0.45">
      <c r="A192" s="47" t="str">
        <f t="shared" si="61"/>
        <v>RHS 300x100x5</v>
      </c>
      <c r="B192" s="47">
        <v>30.1</v>
      </c>
      <c r="C192" s="47">
        <v>300</v>
      </c>
      <c r="D192" s="47">
        <v>100</v>
      </c>
      <c r="E192" s="47">
        <v>5</v>
      </c>
      <c r="F192" s="47">
        <v>3840</v>
      </c>
      <c r="G192" s="47">
        <v>40650000</v>
      </c>
      <c r="H192" s="47">
        <v>271000</v>
      </c>
      <c r="I192" s="47">
        <v>348000</v>
      </c>
      <c r="J192" s="47">
        <f t="shared" si="62"/>
        <v>102.88798520721456</v>
      </c>
      <c r="K192" s="47">
        <v>7230000</v>
      </c>
      <c r="L192" s="47">
        <v>145000</v>
      </c>
      <c r="M192" s="47">
        <v>160000</v>
      </c>
      <c r="N192" s="47">
        <f t="shared" si="63"/>
        <v>102.88798520721456</v>
      </c>
      <c r="O192" s="47">
        <v>20440000</v>
      </c>
    </row>
    <row r="193" spans="1:15" x14ac:dyDescent="0.45">
      <c r="A193" s="47" t="str">
        <f t="shared" si="61"/>
        <v>RHS 300x100x12</v>
      </c>
      <c r="B193" s="47">
        <v>66</v>
      </c>
      <c r="C193" s="47">
        <v>300</v>
      </c>
      <c r="D193" s="47">
        <v>100</v>
      </c>
      <c r="E193" s="47">
        <v>12</v>
      </c>
      <c r="F193" s="47">
        <v>8410</v>
      </c>
      <c r="G193" s="47">
        <v>78080000</v>
      </c>
      <c r="H193" s="47">
        <v>521000</v>
      </c>
      <c r="I193" s="47">
        <v>710000</v>
      </c>
      <c r="J193" s="47">
        <f t="shared" si="62"/>
        <v>96.354478325919899</v>
      </c>
      <c r="K193" s="47">
        <v>13430000</v>
      </c>
      <c r="L193" s="47">
        <v>269000</v>
      </c>
      <c r="M193" s="47">
        <v>321000</v>
      </c>
      <c r="N193" s="47">
        <f t="shared" si="63"/>
        <v>96.354478325919899</v>
      </c>
      <c r="O193" s="47">
        <v>41770000</v>
      </c>
    </row>
    <row r="194" spans="1:15" x14ac:dyDescent="0.45">
      <c r="A194" s="47" t="str">
        <f t="shared" ref="A194:A196" si="64">"RHS "&amp;C194&amp;"x"&amp;D194&amp;"x"&amp;E194</f>
        <v>RHS 300x150x5</v>
      </c>
      <c r="B194" s="47">
        <v>34</v>
      </c>
      <c r="C194" s="47">
        <v>300</v>
      </c>
      <c r="D194" s="47">
        <v>150</v>
      </c>
      <c r="E194" s="47">
        <v>5</v>
      </c>
      <c r="F194" s="47">
        <v>4340</v>
      </c>
      <c r="G194" s="47">
        <v>51530000</v>
      </c>
      <c r="H194" s="47">
        <v>344000</v>
      </c>
      <c r="I194" s="47">
        <v>422000</v>
      </c>
      <c r="J194" s="47">
        <f t="shared" ref="J194:J196" si="65">SQRT(G194/F194)</f>
        <v>108.96454418479858</v>
      </c>
      <c r="K194" s="47">
        <v>17710000</v>
      </c>
      <c r="L194" s="47">
        <v>236000</v>
      </c>
      <c r="M194" s="47">
        <v>262000</v>
      </c>
      <c r="N194" s="47">
        <f t="shared" ref="N194:N196" si="66">J194</f>
        <v>108.96454418479858</v>
      </c>
      <c r="O194" s="47">
        <v>42140000</v>
      </c>
    </row>
    <row r="195" spans="1:15" x14ac:dyDescent="0.45">
      <c r="A195" s="47" t="str">
        <f t="shared" si="64"/>
        <v>RHS 300x150x6</v>
      </c>
      <c r="B195" s="47">
        <v>40.5</v>
      </c>
      <c r="C195" s="47">
        <v>300</v>
      </c>
      <c r="D195" s="47">
        <v>150</v>
      </c>
      <c r="E195" s="47">
        <v>6</v>
      </c>
      <c r="F195" s="47">
        <v>5160</v>
      </c>
      <c r="G195" s="47">
        <v>60740000</v>
      </c>
      <c r="H195" s="47">
        <v>405000</v>
      </c>
      <c r="I195" s="47">
        <v>500000</v>
      </c>
      <c r="J195" s="47">
        <f t="shared" si="65"/>
        <v>108.49570419817259</v>
      </c>
      <c r="K195" s="47">
        <v>20800000</v>
      </c>
      <c r="L195" s="47">
        <v>277000</v>
      </c>
      <c r="M195" s="47">
        <v>309000</v>
      </c>
      <c r="N195" s="47">
        <f t="shared" si="66"/>
        <v>108.49570419817259</v>
      </c>
      <c r="O195" s="47">
        <v>49880000</v>
      </c>
    </row>
    <row r="196" spans="1:15" x14ac:dyDescent="0.45">
      <c r="A196" s="47" t="str">
        <f t="shared" si="64"/>
        <v>RHS 300x150x8</v>
      </c>
      <c r="B196" s="47">
        <v>52.8</v>
      </c>
      <c r="C196" s="47">
        <v>300</v>
      </c>
      <c r="D196" s="47">
        <v>150</v>
      </c>
      <c r="E196" s="47">
        <v>8</v>
      </c>
      <c r="F196" s="47">
        <v>6720</v>
      </c>
      <c r="G196" s="47">
        <v>76840000</v>
      </c>
      <c r="H196" s="47">
        <v>512000</v>
      </c>
      <c r="I196" s="47">
        <v>640000</v>
      </c>
      <c r="J196" s="47">
        <f t="shared" si="65"/>
        <v>106.93233285365007</v>
      </c>
      <c r="K196" s="47">
        <v>26230000</v>
      </c>
      <c r="L196" s="47">
        <v>350000</v>
      </c>
      <c r="M196" s="47">
        <v>396000</v>
      </c>
      <c r="N196" s="47">
        <f t="shared" si="66"/>
        <v>106.93233285365007</v>
      </c>
      <c r="O196" s="47">
        <v>64910000</v>
      </c>
    </row>
    <row r="197" spans="1:15" x14ac:dyDescent="0.45">
      <c r="A197" s="47" t="str">
        <f t="shared" ref="A197:A198" si="67">"RHS "&amp;C197&amp;"x"&amp;D197&amp;"x"&amp;E197</f>
        <v>RHS 300x200x4</v>
      </c>
      <c r="B197" s="47">
        <v>30.6</v>
      </c>
      <c r="C197" s="47">
        <v>300</v>
      </c>
      <c r="D197" s="47">
        <v>200</v>
      </c>
      <c r="E197" s="47">
        <v>4</v>
      </c>
      <c r="F197" s="47">
        <v>3890</v>
      </c>
      <c r="G197" s="47">
        <v>50730000</v>
      </c>
      <c r="H197" s="47">
        <v>338000</v>
      </c>
      <c r="I197" s="47">
        <v>401000</v>
      </c>
      <c r="J197" s="47">
        <f t="shared" ref="J197:J198" si="68">SQRT(G197/F197)</f>
        <v>114.19777189331873</v>
      </c>
      <c r="K197" s="47">
        <v>27370000</v>
      </c>
      <c r="L197" s="47">
        <v>274000</v>
      </c>
      <c r="M197" s="47">
        <v>305000</v>
      </c>
      <c r="N197" s="47">
        <f t="shared" ref="N197:N198" si="69">J197</f>
        <v>114.19777189331873</v>
      </c>
      <c r="O197" s="47">
        <v>55270000</v>
      </c>
    </row>
    <row r="198" spans="1:15" x14ac:dyDescent="0.45">
      <c r="A198" s="47" t="str">
        <f t="shared" si="67"/>
        <v>RHS 300x200x5</v>
      </c>
      <c r="B198" s="47">
        <v>38</v>
      </c>
      <c r="C198" s="47">
        <v>300</v>
      </c>
      <c r="D198" s="47">
        <v>200</v>
      </c>
      <c r="E198" s="47">
        <v>5</v>
      </c>
      <c r="F198" s="47">
        <v>4840</v>
      </c>
      <c r="G198" s="47">
        <v>62410000</v>
      </c>
      <c r="H198" s="47">
        <v>416000</v>
      </c>
      <c r="I198" s="47">
        <v>496000</v>
      </c>
      <c r="J198" s="47">
        <f t="shared" si="68"/>
        <v>113.55451597877362</v>
      </c>
      <c r="K198" s="47">
        <v>33610000</v>
      </c>
      <c r="L198" s="47">
        <v>336000</v>
      </c>
      <c r="M198" s="47">
        <v>376000</v>
      </c>
      <c r="N198" s="47">
        <f t="shared" si="69"/>
        <v>113.55451597877362</v>
      </c>
      <c r="O198" s="47">
        <v>68360000</v>
      </c>
    </row>
    <row r="199" spans="1:15" x14ac:dyDescent="0.45">
      <c r="A199" s="47" t="str">
        <f t="shared" ref="A199:A200" si="70">"RHS "&amp;C199&amp;"x"&amp;D199&amp;"x"&amp;E199</f>
        <v>RHS 400x200x5</v>
      </c>
      <c r="B199" s="47">
        <v>45.8</v>
      </c>
      <c r="C199" s="47">
        <v>400</v>
      </c>
      <c r="D199" s="47">
        <v>200</v>
      </c>
      <c r="E199" s="47">
        <v>5</v>
      </c>
      <c r="F199" s="47">
        <v>5840</v>
      </c>
      <c r="G199" s="47">
        <v>124900000</v>
      </c>
      <c r="H199" s="47">
        <v>624000</v>
      </c>
      <c r="I199" s="47">
        <v>762000</v>
      </c>
      <c r="J199" s="47">
        <f t="shared" ref="J199:J200" si="71">SQRT(G199/F199)</f>
        <v>146.24290171276644</v>
      </c>
      <c r="K199" s="47">
        <v>43120000</v>
      </c>
      <c r="L199" s="47">
        <v>431000</v>
      </c>
      <c r="M199" s="47">
        <v>474000</v>
      </c>
      <c r="N199" s="47">
        <f t="shared" ref="N199:N200" si="72">J199</f>
        <v>146.24290171276644</v>
      </c>
      <c r="O199" s="47">
        <v>101590000</v>
      </c>
    </row>
    <row r="200" spans="1:15" x14ac:dyDescent="0.45">
      <c r="A200" s="47" t="str">
        <f t="shared" si="70"/>
        <v>RHS 400x200x6</v>
      </c>
      <c r="B200" s="47">
        <v>54.7</v>
      </c>
      <c r="C200" s="47">
        <v>400</v>
      </c>
      <c r="D200" s="47">
        <v>200</v>
      </c>
      <c r="E200" s="47">
        <v>6</v>
      </c>
      <c r="F200" s="47">
        <v>6959.9999999999991</v>
      </c>
      <c r="G200" s="47">
        <v>147890000</v>
      </c>
      <c r="H200" s="47">
        <v>739000</v>
      </c>
      <c r="I200" s="47">
        <v>906000</v>
      </c>
      <c r="J200" s="47">
        <f t="shared" si="71"/>
        <v>145.76886916756541</v>
      </c>
      <c r="K200" s="47">
        <v>50920000</v>
      </c>
      <c r="L200" s="47">
        <v>509000</v>
      </c>
      <c r="M200" s="47">
        <v>562000</v>
      </c>
      <c r="N200" s="47">
        <f t="shared" si="72"/>
        <v>145.76886916756541</v>
      </c>
      <c r="O200" s="47">
        <v>120690000</v>
      </c>
    </row>
    <row r="201" spans="1:15" x14ac:dyDescent="0.45">
      <c r="A201" s="47" t="str">
        <f t="shared" ref="A201:A203" si="73">"RHS "&amp;C201&amp;"x"&amp;D201&amp;"x"&amp;E201</f>
        <v>RHS 400x250x5</v>
      </c>
      <c r="B201" s="47">
        <v>49.7</v>
      </c>
      <c r="C201" s="47">
        <v>400</v>
      </c>
      <c r="D201" s="47">
        <v>250</v>
      </c>
      <c r="E201" s="47">
        <v>5</v>
      </c>
      <c r="F201" s="47">
        <v>6340</v>
      </c>
      <c r="G201" s="47">
        <v>144400000</v>
      </c>
      <c r="H201" s="47">
        <v>722000</v>
      </c>
      <c r="I201" s="47">
        <v>861000</v>
      </c>
      <c r="J201" s="47">
        <f t="shared" ref="J201:J203" si="74">SQRT(G201/F201)</f>
        <v>150.91727945001216</v>
      </c>
      <c r="K201" s="47">
        <v>70560000</v>
      </c>
      <c r="L201" s="47">
        <v>565000</v>
      </c>
      <c r="M201" s="47">
        <v>626000</v>
      </c>
      <c r="N201" s="47">
        <f t="shared" ref="N201:N203" si="75">J201</f>
        <v>150.91727945001216</v>
      </c>
      <c r="O201" s="47">
        <v>147730000</v>
      </c>
    </row>
    <row r="202" spans="1:15" x14ac:dyDescent="0.45">
      <c r="A202" s="47" t="str">
        <f t="shared" si="73"/>
        <v>RHS 400x250x6</v>
      </c>
      <c r="B202" s="47">
        <v>59.4</v>
      </c>
      <c r="C202" s="47">
        <v>400</v>
      </c>
      <c r="D202" s="47">
        <v>250</v>
      </c>
      <c r="E202" s="47">
        <v>6</v>
      </c>
      <c r="F202" s="47">
        <v>7559.9999999999991</v>
      </c>
      <c r="G202" s="47">
        <v>171180000</v>
      </c>
      <c r="H202" s="47">
        <v>856000</v>
      </c>
      <c r="I202" s="47">
        <v>1024000</v>
      </c>
      <c r="J202" s="47">
        <f t="shared" si="74"/>
        <v>150.47543700836076</v>
      </c>
      <c r="K202" s="47">
        <v>83520000</v>
      </c>
      <c r="L202" s="47">
        <v>668000</v>
      </c>
      <c r="M202" s="47">
        <v>744000</v>
      </c>
      <c r="N202" s="47">
        <f t="shared" si="75"/>
        <v>150.47543700836076</v>
      </c>
      <c r="O202" s="47">
        <v>175800000</v>
      </c>
    </row>
    <row r="203" spans="1:15" x14ac:dyDescent="0.45">
      <c r="A203" s="47" t="str">
        <f t="shared" si="73"/>
        <v>RHS 400x250x8</v>
      </c>
      <c r="B203" s="47">
        <v>77.900000000000006</v>
      </c>
      <c r="C203" s="47">
        <v>400</v>
      </c>
      <c r="D203" s="47">
        <v>250</v>
      </c>
      <c r="E203" s="47">
        <v>8</v>
      </c>
      <c r="F203" s="47">
        <v>9920</v>
      </c>
      <c r="G203" s="47">
        <v>220480000</v>
      </c>
      <c r="H203" s="47">
        <v>1102000</v>
      </c>
      <c r="I203" s="47">
        <v>1330000</v>
      </c>
      <c r="J203" s="47">
        <f t="shared" si="74"/>
        <v>149.08321988611897</v>
      </c>
      <c r="K203" s="47">
        <v>107440000</v>
      </c>
      <c r="L203" s="47">
        <v>860000</v>
      </c>
      <c r="M203" s="47">
        <v>966000</v>
      </c>
      <c r="N203" s="47">
        <f t="shared" si="75"/>
        <v>149.08321988611897</v>
      </c>
      <c r="O203" s="47">
        <v>231270000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85"/>
  <sheetViews>
    <sheetView tabSelected="1" workbookViewId="0">
      <selection activeCell="A6" sqref="A1:XFD6"/>
    </sheetView>
  </sheetViews>
  <sheetFormatPr baseColWidth="10" defaultColWidth="11.3984375" defaultRowHeight="14.25" x14ac:dyDescent="0.45"/>
  <cols>
    <col min="1" max="1" width="18" style="47" bestFit="1" customWidth="1"/>
    <col min="2" max="3" width="9.86328125" style="47" bestFit="1" customWidth="1"/>
    <col min="4" max="4" width="8.73046875" style="47" bestFit="1" customWidth="1"/>
    <col min="5" max="5" width="12.265625" style="47" bestFit="1" customWidth="1"/>
    <col min="6" max="6" width="17" style="47" bestFit="1" customWidth="1"/>
    <col min="7" max="8" width="14.86328125" style="47" bestFit="1" customWidth="1"/>
    <col min="9" max="9" width="9.86328125" style="47" bestFit="1" customWidth="1"/>
    <col min="10" max="10" width="17" style="47" bestFit="1" customWidth="1"/>
    <col min="11" max="12" width="14.86328125" style="47" bestFit="1" customWidth="1"/>
    <col min="13" max="13" width="9.86328125" style="47" bestFit="1" customWidth="1"/>
    <col min="14" max="14" width="17" style="47" bestFit="1" customWidth="1"/>
    <col min="15" max="15" width="21.3984375" style="66" bestFit="1" customWidth="1"/>
    <col min="16" max="17" width="11.3984375" style="66"/>
    <col min="18" max="16384" width="11.3984375" style="47"/>
  </cols>
  <sheetData>
    <row r="1" spans="1:17" x14ac:dyDescent="0.45">
      <c r="A1" s="47" t="s">
        <v>1</v>
      </c>
      <c r="B1" s="47" t="s">
        <v>2</v>
      </c>
      <c r="C1" s="67" t="s">
        <v>729</v>
      </c>
      <c r="D1" s="47" t="s">
        <v>719</v>
      </c>
      <c r="E1" s="47" t="s">
        <v>8</v>
      </c>
      <c r="F1" s="47" t="s">
        <v>709</v>
      </c>
      <c r="G1" s="47" t="s">
        <v>720</v>
      </c>
      <c r="H1" s="47" t="s">
        <v>721</v>
      </c>
      <c r="I1" s="47" t="s">
        <v>722</v>
      </c>
      <c r="J1" s="47" t="s">
        <v>566</v>
      </c>
      <c r="K1" s="47" t="s">
        <v>723</v>
      </c>
      <c r="L1" s="47" t="s">
        <v>724</v>
      </c>
      <c r="M1" s="47" t="s">
        <v>725</v>
      </c>
      <c r="N1" s="47" t="s">
        <v>726</v>
      </c>
      <c r="O1" s="47"/>
      <c r="P1" s="47"/>
      <c r="Q1" s="47"/>
    </row>
    <row r="2" spans="1:17" x14ac:dyDescent="0.45">
      <c r="A2" s="47" t="s">
        <v>731</v>
      </c>
      <c r="B2" s="47" t="s">
        <v>727</v>
      </c>
      <c r="C2" s="47" t="s">
        <v>730</v>
      </c>
      <c r="D2" s="47" t="s">
        <v>32</v>
      </c>
      <c r="E2" s="47" t="s">
        <v>33</v>
      </c>
      <c r="F2" s="47" t="s">
        <v>37</v>
      </c>
      <c r="G2" s="47" t="s">
        <v>38</v>
      </c>
      <c r="H2" s="47" t="s">
        <v>38</v>
      </c>
      <c r="I2" s="47" t="s">
        <v>32</v>
      </c>
      <c r="J2" s="47" t="s">
        <v>37</v>
      </c>
      <c r="K2" s="47" t="s">
        <v>38</v>
      </c>
      <c r="L2" s="47" t="s">
        <v>38</v>
      </c>
      <c r="M2" s="47" t="s">
        <v>32</v>
      </c>
      <c r="N2" s="47" t="s">
        <v>37</v>
      </c>
      <c r="O2" s="47"/>
      <c r="P2" s="47"/>
      <c r="Q2" s="47"/>
    </row>
    <row r="3" spans="1:17" x14ac:dyDescent="0.45">
      <c r="A3" s="47" t="str">
        <f t="shared" ref="A3:A34" si="0">"CHS φ"&amp;C3&amp;"x"&amp;D3</f>
        <v>CHS φ21,3x2</v>
      </c>
      <c r="B3" s="47">
        <v>0.95</v>
      </c>
      <c r="C3" s="47">
        <v>21.3</v>
      </c>
      <c r="D3" s="47">
        <v>2</v>
      </c>
      <c r="E3" s="47">
        <v>121</v>
      </c>
      <c r="F3" s="47">
        <v>5699.9999999999991</v>
      </c>
      <c r="G3" s="47">
        <v>540</v>
      </c>
      <c r="H3" s="47">
        <v>748</v>
      </c>
      <c r="I3" s="47">
        <f t="shared" ref="I3:I4" si="1">SQRT(F3/E3)</f>
        <v>6.8634858502461356</v>
      </c>
      <c r="J3" s="47">
        <f t="shared" ref="J3:M4" si="2">F3</f>
        <v>5699.9999999999991</v>
      </c>
      <c r="K3" s="47">
        <f t="shared" si="2"/>
        <v>540</v>
      </c>
      <c r="L3" s="47">
        <f t="shared" si="2"/>
        <v>748</v>
      </c>
      <c r="M3" s="47">
        <f t="shared" si="2"/>
        <v>6.8634858502461356</v>
      </c>
      <c r="N3" s="47">
        <v>11399.999999999998</v>
      </c>
      <c r="O3" s="47"/>
      <c r="P3" s="47"/>
      <c r="Q3" s="47"/>
    </row>
    <row r="4" spans="1:17" x14ac:dyDescent="0.45">
      <c r="A4" s="47" t="str">
        <f t="shared" si="0"/>
        <v>CHS φ21,3x2,3</v>
      </c>
      <c r="B4" s="47">
        <v>1.08</v>
      </c>
      <c r="C4" s="47">
        <v>21.3</v>
      </c>
      <c r="D4" s="47">
        <v>2.2999999999999998</v>
      </c>
      <c r="E4" s="47">
        <v>137</v>
      </c>
      <c r="F4" s="47">
        <v>6290</v>
      </c>
      <c r="G4" s="47">
        <v>590</v>
      </c>
      <c r="H4" s="47">
        <v>834</v>
      </c>
      <c r="I4" s="47">
        <f t="shared" si="1"/>
        <v>6.7758695943121641</v>
      </c>
      <c r="J4" s="47">
        <f t="shared" si="2"/>
        <v>6290</v>
      </c>
      <c r="K4" s="47">
        <f t="shared" si="2"/>
        <v>590</v>
      </c>
      <c r="L4" s="47">
        <f t="shared" si="2"/>
        <v>834</v>
      </c>
      <c r="M4" s="47">
        <f t="shared" si="2"/>
        <v>6.7758695943121641</v>
      </c>
      <c r="N4" s="47">
        <v>12600</v>
      </c>
      <c r="O4" s="47"/>
      <c r="P4" s="47"/>
      <c r="Q4" s="47"/>
    </row>
    <row r="5" spans="1:17" x14ac:dyDescent="0.45">
      <c r="A5" s="47" t="str">
        <f t="shared" si="0"/>
        <v>CHS φ25x2</v>
      </c>
      <c r="B5" s="47">
        <v>1.1299999999999999</v>
      </c>
      <c r="C5" s="47">
        <v>25</v>
      </c>
      <c r="D5" s="47">
        <v>2</v>
      </c>
      <c r="E5" s="47">
        <v>145</v>
      </c>
      <c r="F5" s="47">
        <v>9630</v>
      </c>
      <c r="G5" s="47">
        <v>770</v>
      </c>
      <c r="H5" s="47">
        <v>1060</v>
      </c>
      <c r="I5" s="47">
        <f>SQRT(F5/E5)</f>
        <v>8.1494658170611576</v>
      </c>
      <c r="J5" s="47">
        <f>F5</f>
        <v>9630</v>
      </c>
      <c r="K5" s="47">
        <f>G5</f>
        <v>770</v>
      </c>
      <c r="L5" s="47">
        <f>H5</f>
        <v>1060</v>
      </c>
      <c r="M5" s="47">
        <f>I5</f>
        <v>8.1494658170611576</v>
      </c>
      <c r="N5" s="47">
        <v>19300</v>
      </c>
      <c r="O5" s="47"/>
      <c r="P5" s="47"/>
      <c r="Q5" s="47"/>
    </row>
    <row r="6" spans="1:17" x14ac:dyDescent="0.45">
      <c r="A6" s="47" t="str">
        <f t="shared" si="0"/>
        <v>CHS φ26,9x2</v>
      </c>
      <c r="B6" s="47">
        <v>1.23</v>
      </c>
      <c r="C6" s="47">
        <v>26.9</v>
      </c>
      <c r="D6" s="47">
        <v>2</v>
      </c>
      <c r="E6" s="47">
        <v>156</v>
      </c>
      <c r="F6" s="47">
        <v>12200</v>
      </c>
      <c r="G6" s="47">
        <v>910</v>
      </c>
      <c r="H6" s="47">
        <v>1243</v>
      </c>
      <c r="I6" s="47">
        <f t="shared" ref="I6:I48" si="3">SQRT(F6/E6)</f>
        <v>8.8433663389643762</v>
      </c>
      <c r="J6" s="47">
        <f t="shared" ref="J6:M30" si="4">F6</f>
        <v>12200</v>
      </c>
      <c r="K6" s="47">
        <f t="shared" si="4"/>
        <v>910</v>
      </c>
      <c r="L6" s="47">
        <f t="shared" si="4"/>
        <v>1243</v>
      </c>
      <c r="M6" s="47">
        <f t="shared" si="4"/>
        <v>8.8433663389643762</v>
      </c>
      <c r="N6" s="47">
        <v>24400</v>
      </c>
      <c r="O6" s="47"/>
      <c r="P6" s="47"/>
      <c r="Q6" s="47"/>
    </row>
    <row r="7" spans="1:17" x14ac:dyDescent="0.45">
      <c r="A7" s="47" t="str">
        <f t="shared" si="0"/>
        <v>CHS φ26,9x2,3</v>
      </c>
      <c r="B7" s="47">
        <v>1.4</v>
      </c>
      <c r="C7" s="47">
        <v>26.9</v>
      </c>
      <c r="D7" s="47">
        <v>2.2999999999999998</v>
      </c>
      <c r="E7" s="47">
        <v>178</v>
      </c>
      <c r="F7" s="47">
        <v>13600.000000000002</v>
      </c>
      <c r="G7" s="47">
        <v>1010</v>
      </c>
      <c r="H7" s="47">
        <v>1400</v>
      </c>
      <c r="I7" s="47">
        <f t="shared" si="3"/>
        <v>8.7409664443940329</v>
      </c>
      <c r="J7" s="47">
        <f t="shared" si="4"/>
        <v>13600.000000000002</v>
      </c>
      <c r="K7" s="47">
        <f t="shared" si="4"/>
        <v>1010</v>
      </c>
      <c r="L7" s="47">
        <f t="shared" si="4"/>
        <v>1400</v>
      </c>
      <c r="M7" s="47">
        <f t="shared" si="4"/>
        <v>8.7409664443940329</v>
      </c>
      <c r="N7" s="47">
        <v>27100</v>
      </c>
      <c r="O7" s="47"/>
      <c r="P7" s="47"/>
      <c r="Q7" s="47"/>
    </row>
    <row r="8" spans="1:17" x14ac:dyDescent="0.45">
      <c r="A8" s="47" t="str">
        <f t="shared" si="0"/>
        <v>CHS φ30x2</v>
      </c>
      <c r="B8" s="47">
        <v>1.38</v>
      </c>
      <c r="C8" s="47">
        <v>30</v>
      </c>
      <c r="D8" s="47">
        <v>2</v>
      </c>
      <c r="E8" s="47">
        <v>176</v>
      </c>
      <c r="F8" s="47">
        <v>17300</v>
      </c>
      <c r="G8" s="47">
        <v>1160</v>
      </c>
      <c r="H8" s="47">
        <v>1570</v>
      </c>
      <c r="I8" s="47">
        <f t="shared" si="3"/>
        <v>9.9144064141760175</v>
      </c>
      <c r="J8" s="47">
        <f t="shared" si="4"/>
        <v>17300</v>
      </c>
      <c r="K8" s="47">
        <f t="shared" si="4"/>
        <v>1160</v>
      </c>
      <c r="L8" s="47">
        <f t="shared" si="4"/>
        <v>1570</v>
      </c>
      <c r="M8" s="47">
        <f t="shared" si="4"/>
        <v>9.9144064141760175</v>
      </c>
      <c r="N8" s="47">
        <v>34700</v>
      </c>
      <c r="O8" s="47"/>
      <c r="P8" s="47"/>
      <c r="Q8" s="47"/>
    </row>
    <row r="9" spans="1:17" x14ac:dyDescent="0.45">
      <c r="A9" s="47" t="str">
        <f t="shared" si="0"/>
        <v>CHS φ33,7x2</v>
      </c>
      <c r="B9" s="47">
        <v>1.56</v>
      </c>
      <c r="C9" s="47">
        <v>33.700000000000003</v>
      </c>
      <c r="D9" s="47">
        <v>2</v>
      </c>
      <c r="E9" s="47">
        <v>199</v>
      </c>
      <c r="F9" s="47">
        <v>25110</v>
      </c>
      <c r="G9" s="47">
        <v>1490</v>
      </c>
      <c r="H9" s="47">
        <v>2012</v>
      </c>
      <c r="I9" s="47">
        <f t="shared" si="3"/>
        <v>11.233027397928533</v>
      </c>
      <c r="J9" s="47">
        <f t="shared" si="4"/>
        <v>25110</v>
      </c>
      <c r="K9" s="47">
        <f t="shared" si="4"/>
        <v>1490</v>
      </c>
      <c r="L9" s="47">
        <f t="shared" si="4"/>
        <v>2012</v>
      </c>
      <c r="M9" s="47">
        <f t="shared" si="4"/>
        <v>11.233027397928533</v>
      </c>
      <c r="N9" s="47">
        <v>50199.999999999993</v>
      </c>
      <c r="O9" s="47"/>
      <c r="P9" s="47"/>
      <c r="Q9" s="47"/>
    </row>
    <row r="10" spans="1:17" x14ac:dyDescent="0.45">
      <c r="A10" s="47" t="str">
        <f t="shared" si="0"/>
        <v>CHS φ33,7x2,6</v>
      </c>
      <c r="B10" s="47">
        <v>1.99</v>
      </c>
      <c r="C10" s="47">
        <v>33.700000000000003</v>
      </c>
      <c r="D10" s="47">
        <v>2.6</v>
      </c>
      <c r="E10" s="47">
        <v>254</v>
      </c>
      <c r="F10" s="47">
        <v>30900</v>
      </c>
      <c r="G10" s="47">
        <v>1840</v>
      </c>
      <c r="H10" s="47">
        <v>2520</v>
      </c>
      <c r="I10" s="47">
        <f t="shared" si="3"/>
        <v>11.029666509332301</v>
      </c>
      <c r="J10" s="47">
        <f t="shared" si="4"/>
        <v>30900</v>
      </c>
      <c r="K10" s="47">
        <f t="shared" si="4"/>
        <v>1840</v>
      </c>
      <c r="L10" s="47">
        <f t="shared" si="4"/>
        <v>2520</v>
      </c>
      <c r="M10" s="47">
        <f t="shared" si="4"/>
        <v>11.029666509332301</v>
      </c>
      <c r="N10" s="47">
        <v>61900.000000000007</v>
      </c>
      <c r="O10" s="47"/>
      <c r="P10" s="47"/>
      <c r="Q10" s="47"/>
    </row>
    <row r="11" spans="1:17" x14ac:dyDescent="0.45">
      <c r="A11" s="47" t="str">
        <f t="shared" si="0"/>
        <v>CHS φ33,7x2,9</v>
      </c>
      <c r="B11" s="47">
        <v>2.2000000000000002</v>
      </c>
      <c r="C11" s="47">
        <v>33.700000000000003</v>
      </c>
      <c r="D11" s="47">
        <v>2.9</v>
      </c>
      <c r="E11" s="47">
        <v>281</v>
      </c>
      <c r="F11" s="47">
        <v>33600</v>
      </c>
      <c r="G11" s="47">
        <v>1990</v>
      </c>
      <c r="H11" s="47">
        <v>2760</v>
      </c>
      <c r="I11" s="47">
        <f t="shared" si="3"/>
        <v>10.934941871663279</v>
      </c>
      <c r="J11" s="47">
        <f t="shared" si="4"/>
        <v>33600</v>
      </c>
      <c r="K11" s="47">
        <f t="shared" si="4"/>
        <v>1990</v>
      </c>
      <c r="L11" s="47">
        <f t="shared" si="4"/>
        <v>2760</v>
      </c>
      <c r="M11" s="47">
        <f t="shared" si="4"/>
        <v>10.934941871663279</v>
      </c>
      <c r="N11" s="47">
        <v>97100.000000000015</v>
      </c>
      <c r="O11" s="47"/>
      <c r="P11" s="47"/>
      <c r="Q11" s="47"/>
    </row>
    <row r="12" spans="1:17" x14ac:dyDescent="0.45">
      <c r="A12" s="47" t="str">
        <f t="shared" si="0"/>
        <v>CHS φ33,7x3</v>
      </c>
      <c r="B12" s="47">
        <v>2.27</v>
      </c>
      <c r="C12" s="47">
        <v>33.700000000000003</v>
      </c>
      <c r="D12" s="47">
        <v>3</v>
      </c>
      <c r="E12" s="47">
        <v>289</v>
      </c>
      <c r="F12" s="47">
        <v>34400</v>
      </c>
      <c r="G12" s="47">
        <v>2040</v>
      </c>
      <c r="H12" s="47">
        <v>2840</v>
      </c>
      <c r="I12" s="47">
        <f t="shared" si="3"/>
        <v>10.910139406465534</v>
      </c>
      <c r="J12" s="47">
        <f t="shared" si="4"/>
        <v>34400</v>
      </c>
      <c r="K12" s="47">
        <f t="shared" si="4"/>
        <v>2040</v>
      </c>
      <c r="L12" s="47">
        <f t="shared" si="4"/>
        <v>2840</v>
      </c>
      <c r="M12" s="47">
        <f t="shared" si="4"/>
        <v>10.910139406465534</v>
      </c>
      <c r="N12" s="47">
        <v>68800</v>
      </c>
      <c r="O12" s="47"/>
      <c r="P12" s="47"/>
      <c r="Q12" s="47"/>
    </row>
    <row r="13" spans="1:17" x14ac:dyDescent="0.45">
      <c r="A13" s="47" t="str">
        <f t="shared" si="0"/>
        <v>CHS φ35x2</v>
      </c>
      <c r="B13" s="47">
        <v>1.63</v>
      </c>
      <c r="C13" s="47">
        <v>35</v>
      </c>
      <c r="D13" s="47">
        <v>2</v>
      </c>
      <c r="E13" s="47">
        <v>206.99999999999997</v>
      </c>
      <c r="F13" s="47">
        <v>28300</v>
      </c>
      <c r="G13" s="47">
        <v>1620</v>
      </c>
      <c r="H13" s="47">
        <v>2180</v>
      </c>
      <c r="I13" s="47">
        <f t="shared" si="3"/>
        <v>11.692517942915915</v>
      </c>
      <c r="J13" s="47">
        <f t="shared" si="4"/>
        <v>28300</v>
      </c>
      <c r="K13" s="47">
        <f t="shared" si="4"/>
        <v>1620</v>
      </c>
      <c r="L13" s="47">
        <f t="shared" si="4"/>
        <v>2180</v>
      </c>
      <c r="M13" s="47">
        <f t="shared" si="4"/>
        <v>11.692517942915915</v>
      </c>
      <c r="N13" s="47">
        <v>56700</v>
      </c>
      <c r="O13" s="47"/>
      <c r="P13" s="47"/>
      <c r="Q13" s="47"/>
    </row>
    <row r="14" spans="1:17" x14ac:dyDescent="0.45">
      <c r="A14" s="47" t="str">
        <f t="shared" si="0"/>
        <v>CHS φ40x2</v>
      </c>
      <c r="B14" s="47">
        <v>1.87</v>
      </c>
      <c r="C14" s="47">
        <v>40</v>
      </c>
      <c r="D14" s="47">
        <v>2</v>
      </c>
      <c r="E14" s="47">
        <v>239</v>
      </c>
      <c r="F14" s="47">
        <v>43200</v>
      </c>
      <c r="G14" s="47">
        <v>2160</v>
      </c>
      <c r="H14" s="47">
        <v>2890</v>
      </c>
      <c r="I14" s="47">
        <f t="shared" si="3"/>
        <v>13.44444636551888</v>
      </c>
      <c r="J14" s="47">
        <f t="shared" si="4"/>
        <v>43200</v>
      </c>
      <c r="K14" s="47">
        <f t="shared" si="4"/>
        <v>2160</v>
      </c>
      <c r="L14" s="47">
        <f t="shared" si="4"/>
        <v>2890</v>
      </c>
      <c r="M14" s="47">
        <f t="shared" si="4"/>
        <v>13.44444636551888</v>
      </c>
      <c r="N14" s="47">
        <v>86400</v>
      </c>
      <c r="O14" s="47"/>
      <c r="P14" s="47"/>
      <c r="Q14" s="47"/>
    </row>
    <row r="15" spans="1:17" x14ac:dyDescent="0.45">
      <c r="A15" s="47" t="str">
        <f t="shared" si="0"/>
        <v>CHS φ42,4x2</v>
      </c>
      <c r="B15" s="47">
        <v>1.99</v>
      </c>
      <c r="C15" s="47">
        <v>42.4</v>
      </c>
      <c r="D15" s="47">
        <v>2</v>
      </c>
      <c r="E15" s="47">
        <v>254</v>
      </c>
      <c r="F15" s="47">
        <v>51890</v>
      </c>
      <c r="G15" s="47">
        <v>2450</v>
      </c>
      <c r="H15" s="47">
        <v>3267</v>
      </c>
      <c r="I15" s="47">
        <f t="shared" si="3"/>
        <v>14.293052108723215</v>
      </c>
      <c r="J15" s="47">
        <f t="shared" si="4"/>
        <v>51890</v>
      </c>
      <c r="K15" s="47">
        <f t="shared" si="4"/>
        <v>2450</v>
      </c>
      <c r="L15" s="47">
        <f t="shared" si="4"/>
        <v>3267</v>
      </c>
      <c r="M15" s="47">
        <f t="shared" si="4"/>
        <v>14.293052108723215</v>
      </c>
      <c r="N15" s="47">
        <v>103800.00000000001</v>
      </c>
      <c r="O15" s="47"/>
      <c r="P15" s="47"/>
      <c r="Q15" s="47"/>
    </row>
    <row r="16" spans="1:17" x14ac:dyDescent="0.45">
      <c r="A16" s="47" t="str">
        <f t="shared" si="0"/>
        <v>CHS φ42,4x2,6</v>
      </c>
      <c r="B16" s="47">
        <v>2.5499999999999998</v>
      </c>
      <c r="C16" s="47">
        <v>42.4</v>
      </c>
      <c r="D16" s="47">
        <v>2.6</v>
      </c>
      <c r="E16" s="47">
        <v>325</v>
      </c>
      <c r="F16" s="47">
        <v>64600</v>
      </c>
      <c r="G16" s="47">
        <v>3050</v>
      </c>
      <c r="H16" s="47">
        <v>4120</v>
      </c>
      <c r="I16" s="47">
        <f t="shared" si="3"/>
        <v>14.098554208472256</v>
      </c>
      <c r="J16" s="47">
        <f t="shared" si="4"/>
        <v>64600</v>
      </c>
      <c r="K16" s="47">
        <f t="shared" si="4"/>
        <v>3050</v>
      </c>
      <c r="L16" s="47">
        <f t="shared" si="4"/>
        <v>4120</v>
      </c>
      <c r="M16" s="47">
        <f t="shared" si="4"/>
        <v>14.098554208472256</v>
      </c>
      <c r="N16" s="47">
        <v>129000</v>
      </c>
      <c r="O16" s="47"/>
      <c r="P16" s="47"/>
      <c r="Q16" s="47"/>
    </row>
    <row r="17" spans="1:17" x14ac:dyDescent="0.45">
      <c r="A17" s="47" t="str">
        <f t="shared" si="0"/>
        <v>CHS φ42,4x2,9</v>
      </c>
      <c r="B17" s="47">
        <v>2.82</v>
      </c>
      <c r="C17" s="47">
        <v>42.4</v>
      </c>
      <c r="D17" s="47">
        <v>2.9</v>
      </c>
      <c r="E17" s="47">
        <v>360</v>
      </c>
      <c r="F17" s="47">
        <v>70600</v>
      </c>
      <c r="G17" s="47">
        <v>3330</v>
      </c>
      <c r="H17" s="47">
        <v>4530</v>
      </c>
      <c r="I17" s="47">
        <f t="shared" si="3"/>
        <v>14.003967691733337</v>
      </c>
      <c r="J17" s="47">
        <f t="shared" si="4"/>
        <v>70600</v>
      </c>
      <c r="K17" s="47">
        <f t="shared" si="4"/>
        <v>3330</v>
      </c>
      <c r="L17" s="47">
        <f t="shared" si="4"/>
        <v>4530</v>
      </c>
      <c r="M17" s="47">
        <f t="shared" si="4"/>
        <v>14.003967691733337</v>
      </c>
      <c r="N17" s="47">
        <v>141000</v>
      </c>
      <c r="O17" s="47"/>
      <c r="P17" s="47"/>
      <c r="Q17" s="47"/>
    </row>
    <row r="18" spans="1:17" x14ac:dyDescent="0.45">
      <c r="A18" s="47" t="str">
        <f t="shared" si="0"/>
        <v>CHS φ42,4x3,2</v>
      </c>
      <c r="B18" s="47">
        <v>3.09</v>
      </c>
      <c r="C18" s="47">
        <v>42.4</v>
      </c>
      <c r="D18" s="47">
        <v>3.2</v>
      </c>
      <c r="E18" s="47">
        <v>394</v>
      </c>
      <c r="F18" s="47">
        <v>76200</v>
      </c>
      <c r="G18" s="47">
        <v>3590</v>
      </c>
      <c r="H18" s="47">
        <v>4930</v>
      </c>
      <c r="I18" s="47">
        <f t="shared" si="3"/>
        <v>13.90686935397131</v>
      </c>
      <c r="J18" s="47">
        <f t="shared" si="4"/>
        <v>76200</v>
      </c>
      <c r="K18" s="47">
        <f t="shared" si="4"/>
        <v>3590</v>
      </c>
      <c r="L18" s="47">
        <f t="shared" si="4"/>
        <v>4930</v>
      </c>
      <c r="M18" s="47">
        <f t="shared" si="4"/>
        <v>13.90686935397131</v>
      </c>
      <c r="N18" s="47">
        <v>152000</v>
      </c>
      <c r="O18" s="47"/>
      <c r="P18" s="47"/>
      <c r="Q18" s="47"/>
    </row>
    <row r="19" spans="1:17" x14ac:dyDescent="0.45">
      <c r="A19" s="47" t="str">
        <f t="shared" si="0"/>
        <v>CHS φ45x2</v>
      </c>
      <c r="B19" s="47">
        <v>2.12</v>
      </c>
      <c r="C19" s="47">
        <v>45</v>
      </c>
      <c r="D19" s="47">
        <v>2</v>
      </c>
      <c r="E19" s="47">
        <v>270</v>
      </c>
      <c r="F19" s="47">
        <v>62600</v>
      </c>
      <c r="G19" s="47">
        <v>2780</v>
      </c>
      <c r="H19" s="47">
        <v>3700</v>
      </c>
      <c r="I19" s="47">
        <f t="shared" si="3"/>
        <v>15.226682233889688</v>
      </c>
      <c r="J19" s="47">
        <f t="shared" si="4"/>
        <v>62600</v>
      </c>
      <c r="K19" s="47">
        <f t="shared" si="4"/>
        <v>2780</v>
      </c>
      <c r="L19" s="47">
        <f t="shared" si="4"/>
        <v>3700</v>
      </c>
      <c r="M19" s="47">
        <f t="shared" si="4"/>
        <v>15.226682233889688</v>
      </c>
      <c r="N19" s="47">
        <v>125000</v>
      </c>
      <c r="O19" s="47"/>
      <c r="P19" s="47"/>
      <c r="Q19" s="47"/>
    </row>
    <row r="20" spans="1:17" x14ac:dyDescent="0.45">
      <c r="A20" s="47" t="str">
        <f t="shared" si="0"/>
        <v>CHS φ48,3x2</v>
      </c>
      <c r="B20" s="47">
        <v>2.2799999999999998</v>
      </c>
      <c r="C20" s="47">
        <v>48.3</v>
      </c>
      <c r="D20" s="47">
        <v>2</v>
      </c>
      <c r="E20" s="47">
        <v>291</v>
      </c>
      <c r="F20" s="47">
        <v>78060</v>
      </c>
      <c r="G20" s="47">
        <v>3230</v>
      </c>
      <c r="H20" s="47">
        <v>4290</v>
      </c>
      <c r="I20" s="47">
        <f t="shared" si="3"/>
        <v>16.378260673234273</v>
      </c>
      <c r="J20" s="47">
        <f t="shared" si="4"/>
        <v>78060</v>
      </c>
      <c r="K20" s="47">
        <f t="shared" si="4"/>
        <v>3230</v>
      </c>
      <c r="L20" s="47">
        <f t="shared" si="4"/>
        <v>4290</v>
      </c>
      <c r="M20" s="47">
        <f t="shared" si="4"/>
        <v>16.378260673234273</v>
      </c>
      <c r="N20" s="47">
        <v>156100</v>
      </c>
      <c r="O20" s="47"/>
      <c r="P20" s="47"/>
      <c r="Q20" s="47"/>
    </row>
    <row r="21" spans="1:17" x14ac:dyDescent="0.45">
      <c r="A21" s="47" t="str">
        <f t="shared" si="0"/>
        <v>CHS φ48,3x2,5</v>
      </c>
      <c r="B21" s="47">
        <v>2.82</v>
      </c>
      <c r="C21" s="47">
        <v>48.3</v>
      </c>
      <c r="D21" s="47">
        <v>2.5</v>
      </c>
      <c r="E21" s="47">
        <v>360</v>
      </c>
      <c r="F21" s="47">
        <v>94550</v>
      </c>
      <c r="G21" s="47">
        <v>3920</v>
      </c>
      <c r="H21" s="47">
        <v>5249</v>
      </c>
      <c r="I21" s="47">
        <f t="shared" si="3"/>
        <v>16.20613738337698</v>
      </c>
      <c r="J21" s="47">
        <f t="shared" si="4"/>
        <v>94550</v>
      </c>
      <c r="K21" s="47">
        <f t="shared" si="4"/>
        <v>3920</v>
      </c>
      <c r="L21" s="47">
        <f t="shared" si="4"/>
        <v>5249</v>
      </c>
      <c r="M21" s="47">
        <f t="shared" si="4"/>
        <v>16.20613738337698</v>
      </c>
      <c r="N21" s="47">
        <v>189100</v>
      </c>
      <c r="O21" s="47"/>
      <c r="P21" s="47"/>
      <c r="Q21" s="47"/>
    </row>
    <row r="22" spans="1:17" x14ac:dyDescent="0.45">
      <c r="A22" s="47" t="str">
        <f t="shared" si="0"/>
        <v>CHS φ48,3x2,9</v>
      </c>
      <c r="B22" s="47">
        <v>3.25</v>
      </c>
      <c r="C22" s="47">
        <v>48.3</v>
      </c>
      <c r="D22" s="47">
        <v>2.9</v>
      </c>
      <c r="E22" s="47">
        <v>413.99999999999994</v>
      </c>
      <c r="F22" s="47">
        <v>107000</v>
      </c>
      <c r="G22" s="47">
        <v>4430</v>
      </c>
      <c r="H22" s="47">
        <v>5990</v>
      </c>
      <c r="I22" s="47">
        <f t="shared" si="3"/>
        <v>16.076507900666527</v>
      </c>
      <c r="J22" s="47">
        <f t="shared" si="4"/>
        <v>107000</v>
      </c>
      <c r="K22" s="47">
        <f t="shared" si="4"/>
        <v>4430</v>
      </c>
      <c r="L22" s="47">
        <f t="shared" si="4"/>
        <v>5990</v>
      </c>
      <c r="M22" s="47">
        <f t="shared" si="4"/>
        <v>16.076507900666527</v>
      </c>
      <c r="N22" s="47">
        <v>214000</v>
      </c>
      <c r="O22" s="47"/>
      <c r="P22" s="47"/>
      <c r="Q22" s="47"/>
    </row>
    <row r="23" spans="1:17" x14ac:dyDescent="0.45">
      <c r="A23" s="47" t="str">
        <f t="shared" si="0"/>
        <v>CHS φ48,3x3,2</v>
      </c>
      <c r="B23" s="47">
        <v>3.56</v>
      </c>
      <c r="C23" s="47">
        <v>48.3</v>
      </c>
      <c r="D23" s="47">
        <v>3.2</v>
      </c>
      <c r="E23" s="47">
        <v>453</v>
      </c>
      <c r="F23" s="47">
        <v>116000</v>
      </c>
      <c r="G23" s="47">
        <v>4800</v>
      </c>
      <c r="H23" s="47">
        <v>6520</v>
      </c>
      <c r="I23" s="47">
        <f t="shared" si="3"/>
        <v>16.002207353256001</v>
      </c>
      <c r="J23" s="47">
        <f t="shared" si="4"/>
        <v>116000</v>
      </c>
      <c r="K23" s="47">
        <f t="shared" si="4"/>
        <v>4800</v>
      </c>
      <c r="L23" s="47">
        <f t="shared" si="4"/>
        <v>6520</v>
      </c>
      <c r="M23" s="47">
        <f t="shared" si="4"/>
        <v>16.002207353256001</v>
      </c>
      <c r="N23" s="47">
        <v>232000</v>
      </c>
      <c r="O23" s="47"/>
      <c r="P23" s="47"/>
      <c r="Q23" s="47"/>
    </row>
    <row r="24" spans="1:17" x14ac:dyDescent="0.45">
      <c r="A24" s="47" t="str">
        <f t="shared" si="0"/>
        <v>CHS φ50x2</v>
      </c>
      <c r="B24" s="47">
        <v>2.37</v>
      </c>
      <c r="C24" s="47">
        <v>50</v>
      </c>
      <c r="D24" s="47">
        <v>2</v>
      </c>
      <c r="E24" s="47">
        <v>302</v>
      </c>
      <c r="F24" s="47">
        <v>87000</v>
      </c>
      <c r="G24" s="47">
        <v>3480</v>
      </c>
      <c r="H24" s="47">
        <v>4610</v>
      </c>
      <c r="I24" s="47">
        <f t="shared" si="3"/>
        <v>16.972904000160831</v>
      </c>
      <c r="J24" s="47">
        <f t="shared" si="4"/>
        <v>87000</v>
      </c>
      <c r="K24" s="47">
        <f t="shared" si="4"/>
        <v>3480</v>
      </c>
      <c r="L24" s="47">
        <f t="shared" si="4"/>
        <v>4610</v>
      </c>
      <c r="M24" s="47">
        <f t="shared" si="4"/>
        <v>16.972904000160831</v>
      </c>
      <c r="N24" s="47">
        <v>174000</v>
      </c>
      <c r="O24" s="47"/>
      <c r="P24" s="47"/>
      <c r="Q24" s="47"/>
    </row>
    <row r="25" spans="1:17" x14ac:dyDescent="0.45">
      <c r="A25" s="47" t="str">
        <f t="shared" si="0"/>
        <v>CHS φ60,3x2</v>
      </c>
      <c r="B25" s="47">
        <v>2.87</v>
      </c>
      <c r="C25" s="47">
        <v>60.3</v>
      </c>
      <c r="D25" s="47">
        <v>2</v>
      </c>
      <c r="E25" s="47">
        <v>366</v>
      </c>
      <c r="F25" s="47">
        <v>155730</v>
      </c>
      <c r="G25" s="47">
        <v>5170</v>
      </c>
      <c r="H25" s="47">
        <v>6800</v>
      </c>
      <c r="I25" s="47">
        <f t="shared" si="3"/>
        <v>20.627452660924675</v>
      </c>
      <c r="J25" s="47">
        <f t="shared" si="4"/>
        <v>155730</v>
      </c>
      <c r="K25" s="47">
        <f t="shared" si="4"/>
        <v>5170</v>
      </c>
      <c r="L25" s="47">
        <f t="shared" si="4"/>
        <v>6800</v>
      </c>
      <c r="M25" s="47">
        <f t="shared" si="4"/>
        <v>20.627452660924675</v>
      </c>
      <c r="N25" s="47">
        <v>311500</v>
      </c>
      <c r="O25" s="47"/>
      <c r="P25" s="47"/>
      <c r="Q25" s="47"/>
    </row>
    <row r="26" spans="1:17" x14ac:dyDescent="0.45">
      <c r="A26" s="47" t="str">
        <f t="shared" si="0"/>
        <v>CHS φ60,3x2,5</v>
      </c>
      <c r="B26" s="47">
        <v>3.56</v>
      </c>
      <c r="C26" s="47">
        <v>60.3</v>
      </c>
      <c r="D26" s="47">
        <v>2.5</v>
      </c>
      <c r="E26" s="47">
        <v>454</v>
      </c>
      <c r="F26" s="47">
        <v>189830</v>
      </c>
      <c r="G26" s="47">
        <v>6300</v>
      </c>
      <c r="H26" s="47">
        <v>8357</v>
      </c>
      <c r="I26" s="47">
        <f t="shared" si="3"/>
        <v>20.448172370751493</v>
      </c>
      <c r="J26" s="47">
        <f t="shared" si="4"/>
        <v>189830</v>
      </c>
      <c r="K26" s="47">
        <f t="shared" si="4"/>
        <v>6300</v>
      </c>
      <c r="L26" s="47">
        <f t="shared" si="4"/>
        <v>8357</v>
      </c>
      <c r="M26" s="47">
        <f t="shared" si="4"/>
        <v>20.448172370751493</v>
      </c>
      <c r="N26" s="47">
        <v>379700</v>
      </c>
      <c r="O26" s="47"/>
      <c r="P26" s="47"/>
      <c r="Q26" s="47"/>
    </row>
    <row r="27" spans="1:17" x14ac:dyDescent="0.45">
      <c r="A27" s="47" t="str">
        <f t="shared" si="0"/>
        <v>CHS φ60,3x2,9</v>
      </c>
      <c r="B27" s="47">
        <v>4.1100000000000003</v>
      </c>
      <c r="C27" s="47">
        <v>60.3</v>
      </c>
      <c r="D27" s="47">
        <v>2.9</v>
      </c>
      <c r="E27" s="47">
        <v>523</v>
      </c>
      <c r="F27" s="47">
        <v>216000</v>
      </c>
      <c r="G27" s="47">
        <v>7160</v>
      </c>
      <c r="H27" s="47">
        <v>9560</v>
      </c>
      <c r="I27" s="47">
        <f t="shared" si="3"/>
        <v>20.322448475660828</v>
      </c>
      <c r="J27" s="47">
        <f t="shared" si="4"/>
        <v>216000</v>
      </c>
      <c r="K27" s="47">
        <f t="shared" si="4"/>
        <v>7160</v>
      </c>
      <c r="L27" s="47">
        <f t="shared" si="4"/>
        <v>9560</v>
      </c>
      <c r="M27" s="47">
        <f t="shared" si="4"/>
        <v>20.322448475660828</v>
      </c>
      <c r="N27" s="47">
        <v>432000</v>
      </c>
      <c r="O27" s="47"/>
      <c r="P27" s="47"/>
      <c r="Q27" s="47"/>
    </row>
    <row r="28" spans="1:17" x14ac:dyDescent="0.45">
      <c r="A28" s="47" t="str">
        <f t="shared" si="0"/>
        <v>CHS φ60,3x3,2</v>
      </c>
      <c r="B28" s="47">
        <v>4.51</v>
      </c>
      <c r="C28" s="47">
        <v>60.3</v>
      </c>
      <c r="D28" s="47">
        <v>3.2</v>
      </c>
      <c r="E28" s="47">
        <v>574</v>
      </c>
      <c r="F28" s="47">
        <v>235000</v>
      </c>
      <c r="G28" s="47">
        <v>7780</v>
      </c>
      <c r="H28" s="47">
        <v>10400</v>
      </c>
      <c r="I28" s="47">
        <f t="shared" si="3"/>
        <v>20.233824786856946</v>
      </c>
      <c r="J28" s="47">
        <f t="shared" si="4"/>
        <v>235000</v>
      </c>
      <c r="K28" s="47">
        <f t="shared" si="4"/>
        <v>7780</v>
      </c>
      <c r="L28" s="47">
        <f t="shared" si="4"/>
        <v>10400</v>
      </c>
      <c r="M28" s="47">
        <f t="shared" si="4"/>
        <v>20.233824786856946</v>
      </c>
      <c r="N28" s="47">
        <v>469000</v>
      </c>
      <c r="O28" s="47"/>
      <c r="P28" s="47"/>
      <c r="Q28" s="47"/>
    </row>
    <row r="29" spans="1:17" x14ac:dyDescent="0.45">
      <c r="A29" s="47" t="str">
        <f t="shared" si="0"/>
        <v>CHS φ70x2,9</v>
      </c>
      <c r="B29" s="47">
        <v>4.8</v>
      </c>
      <c r="C29" s="47">
        <v>70</v>
      </c>
      <c r="D29" s="47">
        <v>2.9</v>
      </c>
      <c r="E29" s="47">
        <v>611</v>
      </c>
      <c r="F29" s="47">
        <v>345000</v>
      </c>
      <c r="G29" s="47">
        <v>9850</v>
      </c>
      <c r="H29" s="47">
        <v>13100</v>
      </c>
      <c r="I29" s="47">
        <f t="shared" si="3"/>
        <v>23.762325598299658</v>
      </c>
      <c r="J29" s="47">
        <f t="shared" si="4"/>
        <v>345000</v>
      </c>
      <c r="K29" s="47">
        <f t="shared" si="4"/>
        <v>9850</v>
      </c>
      <c r="L29" s="47">
        <f t="shared" si="4"/>
        <v>13100</v>
      </c>
      <c r="M29" s="47">
        <f t="shared" si="4"/>
        <v>23.762325598299658</v>
      </c>
      <c r="N29" s="47">
        <v>689000</v>
      </c>
      <c r="O29" s="47"/>
      <c r="P29" s="47"/>
      <c r="Q29" s="47"/>
    </row>
    <row r="30" spans="1:17" x14ac:dyDescent="0.45">
      <c r="A30" s="47" t="str">
        <f t="shared" si="0"/>
        <v>CHS φ76,1x2</v>
      </c>
      <c r="B30" s="47">
        <v>3.65</v>
      </c>
      <c r="C30" s="47">
        <v>76.099999999999994</v>
      </c>
      <c r="D30" s="47">
        <v>2</v>
      </c>
      <c r="E30" s="47">
        <v>465.00000000000006</v>
      </c>
      <c r="F30" s="47">
        <v>319620</v>
      </c>
      <c r="G30" s="47">
        <v>8400</v>
      </c>
      <c r="H30" s="47">
        <v>10984</v>
      </c>
      <c r="I30" s="47">
        <f t="shared" si="3"/>
        <v>26.217452940926151</v>
      </c>
      <c r="J30" s="47">
        <f t="shared" si="4"/>
        <v>319620</v>
      </c>
      <c r="K30" s="47">
        <f t="shared" si="4"/>
        <v>8400</v>
      </c>
      <c r="L30" s="47">
        <f t="shared" si="4"/>
        <v>10984</v>
      </c>
      <c r="M30" s="47">
        <f t="shared" si="4"/>
        <v>26.217452940926151</v>
      </c>
      <c r="N30" s="47">
        <v>639200</v>
      </c>
      <c r="O30" s="47"/>
      <c r="P30" s="47"/>
      <c r="Q30" s="47"/>
    </row>
    <row r="31" spans="1:17" x14ac:dyDescent="0.45">
      <c r="A31" s="47" t="str">
        <f t="shared" si="0"/>
        <v>CHS φ76,1x2,9</v>
      </c>
      <c r="B31" s="47">
        <v>5.24</v>
      </c>
      <c r="C31" s="47">
        <v>76.099999999999994</v>
      </c>
      <c r="D31" s="47">
        <v>2.9</v>
      </c>
      <c r="E31" s="47">
        <v>667</v>
      </c>
      <c r="F31" s="47">
        <v>66700</v>
      </c>
      <c r="G31" s="47">
        <v>11800</v>
      </c>
      <c r="H31" s="47">
        <v>15500</v>
      </c>
      <c r="I31" s="47">
        <f t="shared" si="3"/>
        <v>10</v>
      </c>
      <c r="J31" s="47">
        <f t="shared" ref="J31:M46" si="5">F31</f>
        <v>66700</v>
      </c>
      <c r="K31" s="47">
        <f t="shared" si="5"/>
        <v>11800</v>
      </c>
      <c r="L31" s="47">
        <f t="shared" si="5"/>
        <v>15500</v>
      </c>
      <c r="M31" s="47">
        <f t="shared" si="5"/>
        <v>10</v>
      </c>
      <c r="N31" s="47">
        <v>895000</v>
      </c>
      <c r="O31" s="47"/>
      <c r="P31" s="47"/>
      <c r="Q31" s="47"/>
    </row>
    <row r="32" spans="1:17" x14ac:dyDescent="0.45">
      <c r="A32" s="47" t="str">
        <f t="shared" si="0"/>
        <v>CHS φ76,1x3,2</v>
      </c>
      <c r="B32" s="47">
        <v>5.75</v>
      </c>
      <c r="C32" s="47">
        <v>76.099999999999994</v>
      </c>
      <c r="D32" s="47">
        <v>3.2</v>
      </c>
      <c r="E32" s="47">
        <v>733</v>
      </c>
      <c r="F32" s="47">
        <v>73300</v>
      </c>
      <c r="G32" s="47">
        <v>12800</v>
      </c>
      <c r="H32" s="47">
        <v>17000</v>
      </c>
      <c r="I32" s="47">
        <f t="shared" si="3"/>
        <v>10</v>
      </c>
      <c r="J32" s="47">
        <f t="shared" si="5"/>
        <v>73300</v>
      </c>
      <c r="K32" s="47">
        <f t="shared" si="5"/>
        <v>12800</v>
      </c>
      <c r="L32" s="47">
        <f t="shared" si="5"/>
        <v>17000</v>
      </c>
      <c r="M32" s="47">
        <f t="shared" si="5"/>
        <v>10</v>
      </c>
      <c r="N32" s="47">
        <v>976000</v>
      </c>
      <c r="O32" s="47"/>
      <c r="P32" s="47"/>
      <c r="Q32" s="47"/>
    </row>
    <row r="33" spans="1:17" x14ac:dyDescent="0.45">
      <c r="A33" s="47" t="str">
        <f t="shared" si="0"/>
        <v>CHS φ76,1x4</v>
      </c>
      <c r="B33" s="47">
        <v>7.11</v>
      </c>
      <c r="C33" s="47">
        <v>76.099999999999994</v>
      </c>
      <c r="D33" s="47">
        <v>4</v>
      </c>
      <c r="E33" s="47">
        <v>906</v>
      </c>
      <c r="F33" s="47">
        <v>90600</v>
      </c>
      <c r="G33" s="47">
        <v>15510</v>
      </c>
      <c r="H33" s="47">
        <v>20815</v>
      </c>
      <c r="I33" s="47">
        <f t="shared" si="3"/>
        <v>10</v>
      </c>
      <c r="J33" s="47">
        <f t="shared" si="5"/>
        <v>90600</v>
      </c>
      <c r="K33" s="47">
        <f t="shared" si="5"/>
        <v>15510</v>
      </c>
      <c r="L33" s="47">
        <f t="shared" si="5"/>
        <v>20815</v>
      </c>
      <c r="M33" s="47">
        <f t="shared" si="5"/>
        <v>10</v>
      </c>
      <c r="N33" s="47">
        <v>1180500</v>
      </c>
      <c r="O33" s="47"/>
      <c r="P33" s="47"/>
      <c r="Q33" s="47"/>
    </row>
    <row r="34" spans="1:17" x14ac:dyDescent="0.45">
      <c r="A34" s="47" t="str">
        <f t="shared" si="0"/>
        <v>CHS φ88,9x2</v>
      </c>
      <c r="B34" s="47">
        <v>4.28</v>
      </c>
      <c r="C34" s="47">
        <v>88.9</v>
      </c>
      <c r="D34" s="47">
        <v>2</v>
      </c>
      <c r="E34" s="47">
        <v>546</v>
      </c>
      <c r="F34" s="47">
        <v>54600</v>
      </c>
      <c r="G34" s="47">
        <v>11600</v>
      </c>
      <c r="H34" s="47">
        <v>15106</v>
      </c>
      <c r="I34" s="47">
        <f t="shared" si="3"/>
        <v>10</v>
      </c>
      <c r="J34" s="47">
        <f t="shared" si="5"/>
        <v>54600</v>
      </c>
      <c r="K34" s="47">
        <f t="shared" si="5"/>
        <v>11600</v>
      </c>
      <c r="L34" s="47">
        <f t="shared" si="5"/>
        <v>15106</v>
      </c>
      <c r="M34" s="47">
        <f t="shared" si="5"/>
        <v>10</v>
      </c>
      <c r="N34" s="47">
        <v>1030800</v>
      </c>
      <c r="O34" s="47"/>
      <c r="P34" s="47"/>
      <c r="Q34" s="47"/>
    </row>
    <row r="35" spans="1:17" x14ac:dyDescent="0.45">
      <c r="A35" s="47" t="str">
        <f t="shared" ref="A35:A66" si="6">"CHS φ"&amp;C35&amp;"x"&amp;D35</f>
        <v>CHS φ88,9x3</v>
      </c>
      <c r="B35" s="47">
        <v>6.35</v>
      </c>
      <c r="C35" s="47">
        <v>88.9</v>
      </c>
      <c r="D35" s="47">
        <v>3</v>
      </c>
      <c r="E35" s="47">
        <v>809</v>
      </c>
      <c r="F35" s="47">
        <v>80900</v>
      </c>
      <c r="G35" s="47">
        <v>16810</v>
      </c>
      <c r="H35" s="47">
        <v>22145</v>
      </c>
      <c r="I35" s="47">
        <f t="shared" si="3"/>
        <v>10</v>
      </c>
      <c r="J35" s="47">
        <f t="shared" si="5"/>
        <v>80900</v>
      </c>
      <c r="K35" s="47">
        <f t="shared" si="5"/>
        <v>16810</v>
      </c>
      <c r="L35" s="47">
        <f t="shared" si="5"/>
        <v>22145</v>
      </c>
      <c r="M35" s="47">
        <f t="shared" si="5"/>
        <v>10</v>
      </c>
      <c r="N35" s="47">
        <v>1494500</v>
      </c>
      <c r="O35" s="47"/>
      <c r="P35" s="47"/>
      <c r="Q35" s="47"/>
    </row>
    <row r="36" spans="1:17" x14ac:dyDescent="0.45">
      <c r="A36" s="47" t="str">
        <f t="shared" si="6"/>
        <v>CHS φ88,9x3,2</v>
      </c>
      <c r="B36" s="47">
        <v>6.76</v>
      </c>
      <c r="C36" s="47">
        <v>88.9</v>
      </c>
      <c r="D36" s="47">
        <v>3.2</v>
      </c>
      <c r="E36" s="47">
        <v>861.99999999999989</v>
      </c>
      <c r="F36" s="47">
        <v>86199.999999999985</v>
      </c>
      <c r="G36" s="47">
        <v>17800</v>
      </c>
      <c r="H36" s="47">
        <v>23500</v>
      </c>
      <c r="I36" s="47">
        <f t="shared" si="3"/>
        <v>10</v>
      </c>
      <c r="J36" s="47">
        <f t="shared" si="5"/>
        <v>86199.999999999985</v>
      </c>
      <c r="K36" s="47">
        <f t="shared" si="5"/>
        <v>17800</v>
      </c>
      <c r="L36" s="47">
        <f t="shared" si="5"/>
        <v>23500</v>
      </c>
      <c r="M36" s="47">
        <f t="shared" si="5"/>
        <v>10</v>
      </c>
      <c r="N36" s="47">
        <v>1580000</v>
      </c>
      <c r="O36" s="47"/>
      <c r="P36" s="47"/>
      <c r="Q36" s="47"/>
    </row>
    <row r="37" spans="1:17" x14ac:dyDescent="0.45">
      <c r="A37" s="47" t="str">
        <f t="shared" si="6"/>
        <v>CHS φ88,9x4</v>
      </c>
      <c r="B37" s="47">
        <v>8.3699999999999992</v>
      </c>
      <c r="C37" s="47">
        <v>88.9</v>
      </c>
      <c r="D37" s="47">
        <v>4</v>
      </c>
      <c r="E37" s="47">
        <v>1066</v>
      </c>
      <c r="F37" s="47">
        <v>106600</v>
      </c>
      <c r="G37" s="47">
        <v>21660</v>
      </c>
      <c r="H37" s="47">
        <v>28853</v>
      </c>
      <c r="I37" s="47">
        <f t="shared" si="3"/>
        <v>10</v>
      </c>
      <c r="J37" s="47">
        <f t="shared" si="5"/>
        <v>106600</v>
      </c>
      <c r="K37" s="47">
        <f t="shared" si="5"/>
        <v>21660</v>
      </c>
      <c r="L37" s="47">
        <f t="shared" si="5"/>
        <v>28853</v>
      </c>
      <c r="M37" s="47">
        <f t="shared" si="5"/>
        <v>10</v>
      </c>
      <c r="N37" s="47">
        <v>1925800.0000000002</v>
      </c>
      <c r="O37" s="47"/>
      <c r="P37" s="47"/>
      <c r="Q37" s="47"/>
    </row>
    <row r="38" spans="1:17" x14ac:dyDescent="0.45">
      <c r="A38" s="47" t="str">
        <f t="shared" si="6"/>
        <v>CHS φ88,9x5</v>
      </c>
      <c r="B38" s="47">
        <v>10.34</v>
      </c>
      <c r="C38" s="47">
        <v>88.9</v>
      </c>
      <c r="D38" s="47">
        <v>5</v>
      </c>
      <c r="E38" s="47">
        <v>1317</v>
      </c>
      <c r="F38" s="47">
        <v>131700</v>
      </c>
      <c r="G38" s="47">
        <v>26170</v>
      </c>
      <c r="H38" s="47">
        <v>35238</v>
      </c>
      <c r="I38" s="47">
        <f t="shared" si="3"/>
        <v>10</v>
      </c>
      <c r="J38" s="47">
        <f t="shared" si="5"/>
        <v>131700</v>
      </c>
      <c r="K38" s="47">
        <f t="shared" si="5"/>
        <v>26170</v>
      </c>
      <c r="L38" s="47">
        <f t="shared" si="5"/>
        <v>35238</v>
      </c>
      <c r="M38" s="47">
        <f t="shared" si="5"/>
        <v>10</v>
      </c>
      <c r="N38" s="47">
        <v>2326300</v>
      </c>
      <c r="O38" s="47"/>
      <c r="P38" s="47"/>
      <c r="Q38" s="47"/>
    </row>
    <row r="39" spans="1:17" x14ac:dyDescent="0.45">
      <c r="A39" s="47" t="str">
        <f t="shared" si="6"/>
        <v>CHS φ101,6x2</v>
      </c>
      <c r="B39" s="47">
        <v>4.91</v>
      </c>
      <c r="C39" s="47">
        <v>101.6</v>
      </c>
      <c r="D39" s="47">
        <v>2</v>
      </c>
      <c r="E39" s="47">
        <v>625</v>
      </c>
      <c r="F39" s="47">
        <v>62500</v>
      </c>
      <c r="G39" s="47">
        <v>15270</v>
      </c>
      <c r="H39" s="47">
        <v>19843</v>
      </c>
      <c r="I39" s="47">
        <f t="shared" si="3"/>
        <v>10</v>
      </c>
      <c r="J39" s="47">
        <f t="shared" si="5"/>
        <v>62500</v>
      </c>
      <c r="K39" s="47">
        <f t="shared" si="5"/>
        <v>15270</v>
      </c>
      <c r="L39" s="47">
        <f t="shared" si="5"/>
        <v>19843</v>
      </c>
      <c r="M39" s="47">
        <f t="shared" si="5"/>
        <v>10</v>
      </c>
      <c r="N39" s="47">
        <v>1551900</v>
      </c>
      <c r="O39" s="47"/>
      <c r="P39" s="47"/>
      <c r="Q39" s="47"/>
    </row>
    <row r="40" spans="1:17" x14ac:dyDescent="0.45">
      <c r="A40" s="47" t="str">
        <f t="shared" si="6"/>
        <v>CHS φ101,6x3</v>
      </c>
      <c r="B40" s="47">
        <v>7.29</v>
      </c>
      <c r="C40" s="47">
        <v>101.6</v>
      </c>
      <c r="D40" s="47">
        <v>3</v>
      </c>
      <c r="E40" s="47">
        <v>928.99999999999989</v>
      </c>
      <c r="F40" s="47">
        <v>92899.999999999985</v>
      </c>
      <c r="G40" s="47">
        <v>22240</v>
      </c>
      <c r="H40" s="47">
        <v>29175</v>
      </c>
      <c r="I40" s="47">
        <f t="shared" si="3"/>
        <v>10</v>
      </c>
      <c r="J40" s="47">
        <f t="shared" si="5"/>
        <v>92899.999999999985</v>
      </c>
      <c r="K40" s="47">
        <f t="shared" si="5"/>
        <v>22240</v>
      </c>
      <c r="L40" s="47">
        <f t="shared" si="5"/>
        <v>29175</v>
      </c>
      <c r="M40" s="47">
        <f t="shared" si="5"/>
        <v>10</v>
      </c>
      <c r="N40" s="47">
        <v>2259600</v>
      </c>
      <c r="O40" s="47"/>
      <c r="P40" s="47"/>
      <c r="Q40" s="47"/>
    </row>
    <row r="41" spans="1:17" x14ac:dyDescent="0.45">
      <c r="A41" s="47" t="str">
        <f t="shared" si="6"/>
        <v>CHS φ101,6x3,6</v>
      </c>
      <c r="B41" s="47">
        <v>8.6999999999999993</v>
      </c>
      <c r="C41" s="47">
        <v>101.6</v>
      </c>
      <c r="D41" s="47">
        <v>3.6</v>
      </c>
      <c r="E41" s="47">
        <v>1110</v>
      </c>
      <c r="F41" s="47">
        <v>111000</v>
      </c>
      <c r="G41" s="47">
        <v>26200</v>
      </c>
      <c r="H41" s="47">
        <v>34600</v>
      </c>
      <c r="I41" s="47">
        <f t="shared" si="3"/>
        <v>10</v>
      </c>
      <c r="J41" s="47">
        <f t="shared" si="5"/>
        <v>111000</v>
      </c>
      <c r="K41" s="47">
        <f t="shared" si="5"/>
        <v>26200</v>
      </c>
      <c r="L41" s="47">
        <f t="shared" si="5"/>
        <v>34600</v>
      </c>
      <c r="M41" s="47">
        <f t="shared" si="5"/>
        <v>10</v>
      </c>
      <c r="N41" s="47">
        <v>2660000</v>
      </c>
      <c r="O41" s="47"/>
      <c r="P41" s="47"/>
      <c r="Q41" s="47"/>
    </row>
    <row r="42" spans="1:17" x14ac:dyDescent="0.45">
      <c r="A42" s="47" t="str">
        <f t="shared" si="6"/>
        <v>CHS φ101,6x4</v>
      </c>
      <c r="B42" s="47">
        <v>9.6199999999999992</v>
      </c>
      <c r="C42" s="47">
        <v>101.6</v>
      </c>
      <c r="D42" s="47">
        <v>4</v>
      </c>
      <c r="E42" s="47">
        <v>1226</v>
      </c>
      <c r="F42" s="47">
        <v>122600</v>
      </c>
      <c r="G42" s="47">
        <v>28780</v>
      </c>
      <c r="H42" s="47">
        <v>38124</v>
      </c>
      <c r="I42" s="47">
        <f t="shared" si="3"/>
        <v>10</v>
      </c>
      <c r="J42" s="47">
        <f t="shared" si="5"/>
        <v>122600</v>
      </c>
      <c r="K42" s="47">
        <f t="shared" si="5"/>
        <v>28780</v>
      </c>
      <c r="L42" s="47">
        <f t="shared" si="5"/>
        <v>38124</v>
      </c>
      <c r="M42" s="47">
        <f t="shared" si="5"/>
        <v>10</v>
      </c>
      <c r="N42" s="47">
        <v>2924200</v>
      </c>
      <c r="O42" s="47"/>
      <c r="P42" s="47"/>
      <c r="Q42" s="47"/>
    </row>
    <row r="43" spans="1:17" x14ac:dyDescent="0.45">
      <c r="A43" s="47" t="str">
        <f t="shared" si="6"/>
        <v>CHS φ101,6x5</v>
      </c>
      <c r="B43" s="47">
        <v>11.91</v>
      </c>
      <c r="C43" s="47">
        <v>101.6</v>
      </c>
      <c r="D43" s="47">
        <v>5</v>
      </c>
      <c r="E43" s="47">
        <v>1517</v>
      </c>
      <c r="F43" s="47">
        <v>151700</v>
      </c>
      <c r="G43" s="47">
        <v>34920</v>
      </c>
      <c r="H43" s="47">
        <v>46699</v>
      </c>
      <c r="I43" s="47">
        <f t="shared" si="3"/>
        <v>10</v>
      </c>
      <c r="J43" s="47">
        <f t="shared" si="5"/>
        <v>151700</v>
      </c>
      <c r="K43" s="47">
        <f t="shared" si="5"/>
        <v>34920</v>
      </c>
      <c r="L43" s="47">
        <f t="shared" si="5"/>
        <v>46699</v>
      </c>
      <c r="M43" s="47">
        <f t="shared" si="5"/>
        <v>10</v>
      </c>
      <c r="N43" s="47">
        <v>3547600</v>
      </c>
      <c r="O43" s="47"/>
      <c r="P43" s="47"/>
      <c r="Q43" s="47"/>
    </row>
    <row r="44" spans="1:17" x14ac:dyDescent="0.45">
      <c r="A44" s="47" t="str">
        <f t="shared" si="6"/>
        <v>CHS φ114,3x2</v>
      </c>
      <c r="B44" s="47">
        <v>5.54</v>
      </c>
      <c r="C44" s="47">
        <v>114.3</v>
      </c>
      <c r="D44" s="47">
        <v>2</v>
      </c>
      <c r="E44" s="47">
        <v>706</v>
      </c>
      <c r="F44" s="47">
        <v>70600</v>
      </c>
      <c r="G44" s="47">
        <v>19500</v>
      </c>
      <c r="H44" s="47">
        <v>25200</v>
      </c>
      <c r="I44" s="47">
        <f t="shared" si="3"/>
        <v>10</v>
      </c>
      <c r="J44" s="47">
        <f t="shared" si="5"/>
        <v>70600</v>
      </c>
      <c r="K44" s="47">
        <f t="shared" si="5"/>
        <v>19500</v>
      </c>
      <c r="L44" s="47">
        <f t="shared" si="5"/>
        <v>25200</v>
      </c>
      <c r="M44" s="47">
        <f t="shared" si="5"/>
        <v>10</v>
      </c>
      <c r="N44" s="47">
        <v>2230000</v>
      </c>
      <c r="O44" s="47"/>
      <c r="P44" s="47"/>
      <c r="Q44" s="47"/>
    </row>
    <row r="45" spans="1:17" x14ac:dyDescent="0.45">
      <c r="A45" s="47" t="str">
        <f t="shared" si="6"/>
        <v>CHS φ114,3x3</v>
      </c>
      <c r="B45" s="47">
        <v>8.23</v>
      </c>
      <c r="C45" s="47">
        <v>114.3</v>
      </c>
      <c r="D45" s="47">
        <v>3</v>
      </c>
      <c r="E45" s="47">
        <v>1048</v>
      </c>
      <c r="F45" s="47">
        <v>104800</v>
      </c>
      <c r="G45" s="47">
        <v>28430</v>
      </c>
      <c r="H45" s="47">
        <v>37172</v>
      </c>
      <c r="I45" s="47">
        <f t="shared" si="3"/>
        <v>10</v>
      </c>
      <c r="J45" s="47">
        <f t="shared" si="5"/>
        <v>104800</v>
      </c>
      <c r="K45" s="47">
        <f t="shared" si="5"/>
        <v>28430</v>
      </c>
      <c r="L45" s="47">
        <f t="shared" si="5"/>
        <v>37172</v>
      </c>
      <c r="M45" s="47">
        <f t="shared" si="5"/>
        <v>10</v>
      </c>
      <c r="N45" s="47">
        <v>3249300</v>
      </c>
      <c r="O45" s="47"/>
      <c r="P45" s="47"/>
      <c r="Q45" s="47"/>
    </row>
    <row r="46" spans="1:17" x14ac:dyDescent="0.45">
      <c r="A46" s="47" t="str">
        <f t="shared" si="6"/>
        <v>CHS φ114,3x3,6</v>
      </c>
      <c r="B46" s="47">
        <v>9.83</v>
      </c>
      <c r="C46" s="47">
        <v>114.3</v>
      </c>
      <c r="D46" s="47">
        <v>3.6</v>
      </c>
      <c r="E46" s="47">
        <v>1250</v>
      </c>
      <c r="F46" s="47">
        <v>125000</v>
      </c>
      <c r="G46" s="47">
        <v>33600</v>
      </c>
      <c r="H46" s="47">
        <v>44100</v>
      </c>
      <c r="I46" s="47">
        <f t="shared" si="3"/>
        <v>10</v>
      </c>
      <c r="J46" s="47">
        <f t="shared" si="5"/>
        <v>125000</v>
      </c>
      <c r="K46" s="47">
        <f t="shared" si="5"/>
        <v>33600</v>
      </c>
      <c r="L46" s="47">
        <f t="shared" si="5"/>
        <v>44100</v>
      </c>
      <c r="M46" s="47">
        <f t="shared" si="5"/>
        <v>10</v>
      </c>
      <c r="N46" s="47">
        <v>3840000</v>
      </c>
      <c r="O46" s="47"/>
      <c r="P46" s="47"/>
      <c r="Q46" s="47"/>
    </row>
    <row r="47" spans="1:17" x14ac:dyDescent="0.45">
      <c r="A47" s="47" t="str">
        <f t="shared" si="6"/>
        <v>CHS φ114,3x4</v>
      </c>
      <c r="B47" s="47">
        <v>10.88</v>
      </c>
      <c r="C47" s="47">
        <v>114.3</v>
      </c>
      <c r="D47" s="47">
        <v>4</v>
      </c>
      <c r="E47" s="47">
        <v>1385</v>
      </c>
      <c r="F47" s="47">
        <v>138500</v>
      </c>
      <c r="G47" s="47">
        <v>36910</v>
      </c>
      <c r="H47" s="47">
        <v>48686</v>
      </c>
      <c r="I47" s="47">
        <f t="shared" si="3"/>
        <v>10</v>
      </c>
      <c r="J47" s="47">
        <f t="shared" ref="J47:M48" si="7">F47</f>
        <v>138500</v>
      </c>
      <c r="K47" s="47">
        <f t="shared" si="7"/>
        <v>36910</v>
      </c>
      <c r="L47" s="47">
        <f t="shared" si="7"/>
        <v>48686</v>
      </c>
      <c r="M47" s="47">
        <f t="shared" si="7"/>
        <v>10</v>
      </c>
      <c r="N47" s="47">
        <v>4219200</v>
      </c>
      <c r="O47" s="47"/>
      <c r="P47" s="47"/>
      <c r="Q47" s="47"/>
    </row>
    <row r="48" spans="1:17" x14ac:dyDescent="0.45">
      <c r="A48" s="47" t="str">
        <f t="shared" si="6"/>
        <v>CHS φ114,3x5</v>
      </c>
      <c r="B48" s="47">
        <v>13.47</v>
      </c>
      <c r="C48" s="47">
        <v>114.3</v>
      </c>
      <c r="D48" s="47">
        <v>5</v>
      </c>
      <c r="E48" s="47">
        <v>1716</v>
      </c>
      <c r="F48" s="47">
        <v>171600</v>
      </c>
      <c r="G48" s="47">
        <v>44930</v>
      </c>
      <c r="H48" s="47">
        <v>59774</v>
      </c>
      <c r="I48" s="47">
        <f t="shared" si="3"/>
        <v>10</v>
      </c>
      <c r="J48" s="47">
        <f t="shared" si="7"/>
        <v>171600</v>
      </c>
      <c r="K48" s="47">
        <f t="shared" si="7"/>
        <v>44930</v>
      </c>
      <c r="L48" s="47">
        <f t="shared" si="7"/>
        <v>59774</v>
      </c>
      <c r="M48" s="47">
        <f t="shared" si="7"/>
        <v>10</v>
      </c>
      <c r="N48" s="47">
        <v>5135800</v>
      </c>
      <c r="O48" s="47"/>
      <c r="P48" s="47"/>
      <c r="Q48" s="47"/>
    </row>
    <row r="49" spans="1:17" x14ac:dyDescent="0.45">
      <c r="A49" s="47" t="str">
        <f t="shared" si="6"/>
        <v>CHS φ127x3</v>
      </c>
      <c r="B49" s="47">
        <v>9.17</v>
      </c>
      <c r="C49" s="47">
        <v>127</v>
      </c>
      <c r="D49" s="47">
        <v>3</v>
      </c>
      <c r="E49" s="47">
        <v>22500</v>
      </c>
      <c r="F49" s="47">
        <v>2250000</v>
      </c>
      <c r="G49" s="47">
        <v>35400</v>
      </c>
      <c r="H49" s="47">
        <v>46100</v>
      </c>
      <c r="I49" s="47">
        <f>SQRT(F49/E49)</f>
        <v>10</v>
      </c>
      <c r="J49" s="47">
        <f>F49</f>
        <v>2250000</v>
      </c>
      <c r="K49" s="47">
        <f>G49</f>
        <v>35400</v>
      </c>
      <c r="L49" s="47">
        <f>H49</f>
        <v>46100</v>
      </c>
      <c r="M49" s="47">
        <f>I49</f>
        <v>10</v>
      </c>
      <c r="N49" s="47">
        <v>4500000</v>
      </c>
      <c r="O49" s="47"/>
      <c r="P49" s="47"/>
      <c r="Q49" s="47"/>
    </row>
    <row r="50" spans="1:17" x14ac:dyDescent="0.45">
      <c r="A50" s="47" t="str">
        <f t="shared" si="6"/>
        <v>CHS φ133x3</v>
      </c>
      <c r="B50" s="47">
        <v>9.6199999999999992</v>
      </c>
      <c r="C50" s="47">
        <v>133</v>
      </c>
      <c r="D50" s="47">
        <v>3</v>
      </c>
      <c r="E50" s="47">
        <v>25900</v>
      </c>
      <c r="F50" s="47">
        <v>2590000</v>
      </c>
      <c r="G50" s="47">
        <v>38900</v>
      </c>
      <c r="H50" s="47">
        <v>50700</v>
      </c>
      <c r="I50" s="47">
        <f t="shared" ref="I50:I71" si="8">SQRT(F50/E50)</f>
        <v>10</v>
      </c>
      <c r="J50" s="47">
        <f t="shared" ref="J50:M65" si="9">F50</f>
        <v>2590000</v>
      </c>
      <c r="K50" s="47">
        <f t="shared" si="9"/>
        <v>38900</v>
      </c>
      <c r="L50" s="47">
        <f t="shared" si="9"/>
        <v>50700</v>
      </c>
      <c r="M50" s="47">
        <f t="shared" si="9"/>
        <v>10</v>
      </c>
      <c r="N50" s="47">
        <v>5180000</v>
      </c>
      <c r="O50" s="47"/>
      <c r="P50" s="47"/>
      <c r="Q50" s="47"/>
    </row>
    <row r="51" spans="1:17" x14ac:dyDescent="0.45">
      <c r="A51" s="47" t="str">
        <f t="shared" si="6"/>
        <v>CHS φ133x4</v>
      </c>
      <c r="B51" s="47">
        <v>12.7</v>
      </c>
      <c r="C51" s="47">
        <v>133</v>
      </c>
      <c r="D51" s="47">
        <v>4</v>
      </c>
      <c r="E51" s="47">
        <v>33800</v>
      </c>
      <c r="F51" s="47">
        <v>3380000</v>
      </c>
      <c r="G51" s="47">
        <v>50800</v>
      </c>
      <c r="H51" s="47">
        <v>66600</v>
      </c>
      <c r="I51" s="47">
        <f t="shared" si="8"/>
        <v>10</v>
      </c>
      <c r="J51" s="47">
        <f t="shared" si="9"/>
        <v>3380000</v>
      </c>
      <c r="K51" s="47">
        <f t="shared" si="9"/>
        <v>50800</v>
      </c>
      <c r="L51" s="47">
        <f t="shared" si="9"/>
        <v>66600</v>
      </c>
      <c r="M51" s="47">
        <f t="shared" si="9"/>
        <v>10</v>
      </c>
      <c r="N51" s="47">
        <v>6750000</v>
      </c>
      <c r="O51" s="47"/>
      <c r="P51" s="47"/>
      <c r="Q51" s="47"/>
    </row>
    <row r="52" spans="1:17" x14ac:dyDescent="0.45">
      <c r="A52" s="47" t="str">
        <f t="shared" si="6"/>
        <v>CHS φ133x5</v>
      </c>
      <c r="B52" s="47">
        <v>15.8</v>
      </c>
      <c r="C52" s="47">
        <v>133</v>
      </c>
      <c r="D52" s="47">
        <v>5</v>
      </c>
      <c r="E52" s="47">
        <v>41200</v>
      </c>
      <c r="F52" s="47">
        <v>4120000</v>
      </c>
      <c r="G52" s="47">
        <v>62000</v>
      </c>
      <c r="H52" s="47">
        <v>82000</v>
      </c>
      <c r="I52" s="47">
        <f t="shared" si="8"/>
        <v>10</v>
      </c>
      <c r="J52" s="47">
        <f t="shared" si="9"/>
        <v>4120000</v>
      </c>
      <c r="K52" s="47">
        <f t="shared" si="9"/>
        <v>62000</v>
      </c>
      <c r="L52" s="47">
        <f t="shared" si="9"/>
        <v>82000</v>
      </c>
      <c r="M52" s="47">
        <f t="shared" si="9"/>
        <v>10</v>
      </c>
      <c r="N52" s="47">
        <v>8250000</v>
      </c>
      <c r="O52" s="47"/>
      <c r="P52" s="47"/>
      <c r="Q52" s="47"/>
    </row>
    <row r="53" spans="1:17" x14ac:dyDescent="0.45">
      <c r="A53" s="47" t="str">
        <f t="shared" si="6"/>
        <v>CHS φ133x6</v>
      </c>
      <c r="B53" s="47">
        <v>18.8</v>
      </c>
      <c r="C53" s="47">
        <v>133</v>
      </c>
      <c r="D53" s="47">
        <v>6</v>
      </c>
      <c r="E53" s="47">
        <v>48400</v>
      </c>
      <c r="F53" s="47">
        <v>4840000</v>
      </c>
      <c r="G53" s="47">
        <v>77200</v>
      </c>
      <c r="H53" s="47">
        <v>96800</v>
      </c>
      <c r="I53" s="47">
        <f t="shared" si="8"/>
        <v>10</v>
      </c>
      <c r="J53" s="47">
        <f t="shared" si="9"/>
        <v>4840000</v>
      </c>
      <c r="K53" s="47">
        <f t="shared" si="9"/>
        <v>77200</v>
      </c>
      <c r="L53" s="47">
        <f t="shared" si="9"/>
        <v>96800</v>
      </c>
      <c r="M53" s="47">
        <f t="shared" si="9"/>
        <v>10</v>
      </c>
      <c r="N53" s="47">
        <v>9670000</v>
      </c>
      <c r="O53" s="47"/>
      <c r="P53" s="47"/>
      <c r="Q53" s="47"/>
    </row>
    <row r="54" spans="1:17" x14ac:dyDescent="0.45">
      <c r="A54" s="47" t="str">
        <f t="shared" si="6"/>
        <v>CHS φ139,7x3</v>
      </c>
      <c r="B54" s="47">
        <v>10.11</v>
      </c>
      <c r="C54" s="47">
        <v>139.69999999999999</v>
      </c>
      <c r="D54" s="47">
        <v>3</v>
      </c>
      <c r="E54" s="47">
        <v>30093.7</v>
      </c>
      <c r="F54" s="47">
        <v>3009370</v>
      </c>
      <c r="G54" s="47">
        <v>43080</v>
      </c>
      <c r="H54" s="47">
        <v>56070</v>
      </c>
      <c r="I54" s="47">
        <f t="shared" si="8"/>
        <v>10</v>
      </c>
      <c r="J54" s="47">
        <f t="shared" si="9"/>
        <v>3009370</v>
      </c>
      <c r="K54" s="47">
        <f t="shared" si="9"/>
        <v>43080</v>
      </c>
      <c r="L54" s="47">
        <f t="shared" si="9"/>
        <v>56070</v>
      </c>
      <c r="M54" s="47">
        <f t="shared" si="9"/>
        <v>10</v>
      </c>
      <c r="N54" s="47">
        <v>6018700</v>
      </c>
      <c r="O54" s="47"/>
      <c r="P54" s="47"/>
      <c r="Q54" s="47"/>
    </row>
    <row r="55" spans="1:17" x14ac:dyDescent="0.45">
      <c r="A55" s="47" t="str">
        <f t="shared" si="6"/>
        <v>CHS φ139,7x4</v>
      </c>
      <c r="B55" s="47">
        <v>13.38</v>
      </c>
      <c r="C55" s="47">
        <v>139.69999999999999</v>
      </c>
      <c r="D55" s="47">
        <v>4</v>
      </c>
      <c r="E55" s="47">
        <v>39266</v>
      </c>
      <c r="F55" s="47">
        <v>3926600.0000000005</v>
      </c>
      <c r="G55" s="47">
        <v>56210</v>
      </c>
      <c r="H55" s="47">
        <v>73679</v>
      </c>
      <c r="I55" s="47">
        <f t="shared" si="8"/>
        <v>10</v>
      </c>
      <c r="J55" s="47">
        <f t="shared" si="9"/>
        <v>3926600.0000000005</v>
      </c>
      <c r="K55" s="47">
        <f t="shared" si="9"/>
        <v>56210</v>
      </c>
      <c r="L55" s="47">
        <f t="shared" si="9"/>
        <v>73679</v>
      </c>
      <c r="M55" s="47">
        <f t="shared" si="9"/>
        <v>10</v>
      </c>
      <c r="N55" s="47">
        <v>7853200.0000000009</v>
      </c>
      <c r="O55" s="47"/>
      <c r="P55" s="47"/>
      <c r="Q55" s="47"/>
    </row>
    <row r="56" spans="1:17" x14ac:dyDescent="0.45">
      <c r="A56" s="47" t="str">
        <f t="shared" si="6"/>
        <v>CHS φ139,7x5</v>
      </c>
      <c r="B56" s="47">
        <v>16.600000000000001</v>
      </c>
      <c r="C56" s="47">
        <v>139.69999999999999</v>
      </c>
      <c r="D56" s="47">
        <v>5</v>
      </c>
      <c r="E56" s="47">
        <v>48029.8</v>
      </c>
      <c r="F56" s="47">
        <v>4802980</v>
      </c>
      <c r="G56" s="47">
        <v>68760</v>
      </c>
      <c r="H56" s="47">
        <v>90762</v>
      </c>
      <c r="I56" s="47">
        <f t="shared" si="8"/>
        <v>10</v>
      </c>
      <c r="J56" s="47">
        <f t="shared" si="9"/>
        <v>4802980</v>
      </c>
      <c r="K56" s="47">
        <f t="shared" si="9"/>
        <v>68760</v>
      </c>
      <c r="L56" s="47">
        <f t="shared" si="9"/>
        <v>90762</v>
      </c>
      <c r="M56" s="47">
        <f t="shared" si="9"/>
        <v>10</v>
      </c>
      <c r="N56" s="47">
        <v>9606000</v>
      </c>
      <c r="O56" s="47"/>
      <c r="P56" s="47"/>
      <c r="Q56" s="47"/>
    </row>
    <row r="57" spans="1:17" x14ac:dyDescent="0.45">
      <c r="A57" s="47" t="str">
        <f t="shared" si="6"/>
        <v>CHS φ152,4x3</v>
      </c>
      <c r="B57" s="47">
        <v>11.1</v>
      </c>
      <c r="C57" s="47">
        <v>152.4</v>
      </c>
      <c r="D57" s="47">
        <v>3</v>
      </c>
      <c r="E57" s="47">
        <v>39300</v>
      </c>
      <c r="F57" s="47">
        <v>3930000</v>
      </c>
      <c r="G57" s="47">
        <v>51600</v>
      </c>
      <c r="H57" s="47">
        <v>67000</v>
      </c>
      <c r="I57" s="47">
        <f t="shared" si="8"/>
        <v>10</v>
      </c>
      <c r="J57" s="47">
        <f t="shared" si="9"/>
        <v>3930000</v>
      </c>
      <c r="K57" s="47">
        <f t="shared" si="9"/>
        <v>51600</v>
      </c>
      <c r="L57" s="47">
        <f t="shared" si="9"/>
        <v>67000</v>
      </c>
      <c r="M57" s="47">
        <f t="shared" si="9"/>
        <v>10</v>
      </c>
      <c r="N57" s="47">
        <v>7860000</v>
      </c>
      <c r="O57" s="47"/>
      <c r="P57" s="47"/>
      <c r="Q57" s="47"/>
    </row>
    <row r="58" spans="1:17" x14ac:dyDescent="0.45">
      <c r="A58" s="47" t="str">
        <f t="shared" si="6"/>
        <v>CHS φ152,4x4</v>
      </c>
      <c r="B58" s="47">
        <v>14.6</v>
      </c>
      <c r="C58" s="47">
        <v>152.4</v>
      </c>
      <c r="D58" s="47">
        <v>4</v>
      </c>
      <c r="E58" s="47">
        <v>51400</v>
      </c>
      <c r="F58" s="47">
        <v>5140000</v>
      </c>
      <c r="G58" s="47">
        <v>67400</v>
      </c>
      <c r="H58" s="47">
        <v>88100</v>
      </c>
      <c r="I58" s="47">
        <f t="shared" si="8"/>
        <v>10</v>
      </c>
      <c r="J58" s="47">
        <f t="shared" si="9"/>
        <v>5140000</v>
      </c>
      <c r="K58" s="47">
        <f t="shared" si="9"/>
        <v>67400</v>
      </c>
      <c r="L58" s="47">
        <f t="shared" si="9"/>
        <v>88100</v>
      </c>
      <c r="M58" s="47">
        <f t="shared" si="9"/>
        <v>10</v>
      </c>
      <c r="N58" s="47">
        <v>10270000</v>
      </c>
      <c r="O58" s="47"/>
      <c r="P58" s="47"/>
      <c r="Q58" s="47"/>
    </row>
    <row r="59" spans="1:17" x14ac:dyDescent="0.45">
      <c r="A59" s="47" t="str">
        <f t="shared" si="6"/>
        <v>CHS φ152,4x5</v>
      </c>
      <c r="B59" s="47">
        <v>18.2</v>
      </c>
      <c r="C59" s="47">
        <v>152.4</v>
      </c>
      <c r="D59" s="47">
        <v>5</v>
      </c>
      <c r="E59" s="47">
        <v>232</v>
      </c>
      <c r="F59" s="47">
        <v>6300000</v>
      </c>
      <c r="G59" s="47">
        <v>82600</v>
      </c>
      <c r="H59" s="47">
        <v>109000</v>
      </c>
      <c r="I59" s="47">
        <f t="shared" si="8"/>
        <v>164.78826540076543</v>
      </c>
      <c r="J59" s="47">
        <f t="shared" si="9"/>
        <v>6300000</v>
      </c>
      <c r="K59" s="47">
        <f t="shared" si="9"/>
        <v>82600</v>
      </c>
      <c r="L59" s="47">
        <f t="shared" si="9"/>
        <v>109000</v>
      </c>
      <c r="M59" s="47">
        <f t="shared" si="9"/>
        <v>164.78826540076543</v>
      </c>
      <c r="N59" s="47">
        <v>12590000</v>
      </c>
      <c r="O59" s="47"/>
      <c r="P59" s="47"/>
      <c r="Q59" s="47"/>
    </row>
    <row r="60" spans="1:17" x14ac:dyDescent="0.45">
      <c r="A60" s="47" t="str">
        <f t="shared" si="6"/>
        <v>CHS φ152,4x6</v>
      </c>
      <c r="B60" s="47">
        <v>21.7</v>
      </c>
      <c r="C60" s="47">
        <v>152.4</v>
      </c>
      <c r="D60" s="47">
        <v>6</v>
      </c>
      <c r="E60" s="47">
        <v>276</v>
      </c>
      <c r="F60" s="47">
        <v>7410000</v>
      </c>
      <c r="G60" s="47">
        <v>97200</v>
      </c>
      <c r="H60" s="47">
        <v>129000</v>
      </c>
      <c r="I60" s="47">
        <f t="shared" si="8"/>
        <v>163.85306248879365</v>
      </c>
      <c r="J60" s="47">
        <f t="shared" si="9"/>
        <v>7410000</v>
      </c>
      <c r="K60" s="47">
        <f t="shared" si="9"/>
        <v>97200</v>
      </c>
      <c r="L60" s="47">
        <f t="shared" si="9"/>
        <v>129000</v>
      </c>
      <c r="M60" s="47">
        <f t="shared" si="9"/>
        <v>163.85306248879365</v>
      </c>
      <c r="N60" s="47">
        <v>14810000</v>
      </c>
      <c r="O60" s="47"/>
      <c r="P60" s="47"/>
      <c r="Q60" s="47"/>
    </row>
    <row r="61" spans="1:17" x14ac:dyDescent="0.45">
      <c r="A61" s="47" t="str">
        <f t="shared" si="6"/>
        <v>CHS φ168,3x3</v>
      </c>
      <c r="B61" s="47">
        <v>12.22</v>
      </c>
      <c r="C61" s="47">
        <v>168.3</v>
      </c>
      <c r="D61" s="47">
        <v>3</v>
      </c>
      <c r="E61" s="47">
        <v>155.69999999999999</v>
      </c>
      <c r="F61" s="47">
        <v>5320130</v>
      </c>
      <c r="G61" s="47">
        <v>63220</v>
      </c>
      <c r="H61" s="47">
        <v>81981</v>
      </c>
      <c r="I61" s="47">
        <f t="shared" si="8"/>
        <v>184.84887680899379</v>
      </c>
      <c r="J61" s="47">
        <f t="shared" si="9"/>
        <v>5320130</v>
      </c>
      <c r="K61" s="47">
        <f t="shared" si="9"/>
        <v>63220</v>
      </c>
      <c r="L61" s="47">
        <f t="shared" si="9"/>
        <v>81981</v>
      </c>
      <c r="M61" s="47">
        <f t="shared" si="9"/>
        <v>184.84887680899379</v>
      </c>
      <c r="N61" s="47">
        <v>10640300</v>
      </c>
      <c r="O61" s="47"/>
      <c r="P61" s="47"/>
      <c r="Q61" s="47"/>
    </row>
    <row r="62" spans="1:17" x14ac:dyDescent="0.45">
      <c r="A62" s="47" t="str">
        <f t="shared" si="6"/>
        <v>CHS φ168,3x4</v>
      </c>
      <c r="B62" s="47">
        <v>16.2</v>
      </c>
      <c r="C62" s="47">
        <v>168.3</v>
      </c>
      <c r="D62" s="47">
        <v>4</v>
      </c>
      <c r="E62" s="47">
        <v>206.4</v>
      </c>
      <c r="F62" s="47">
        <v>6967380.0000000009</v>
      </c>
      <c r="G62" s="47">
        <v>82800</v>
      </c>
      <c r="H62" s="47">
        <v>107999</v>
      </c>
      <c r="I62" s="47">
        <f t="shared" si="8"/>
        <v>183.72992692131467</v>
      </c>
      <c r="J62" s="47">
        <f t="shared" si="9"/>
        <v>6967380.0000000009</v>
      </c>
      <c r="K62" s="47">
        <f t="shared" si="9"/>
        <v>82800</v>
      </c>
      <c r="L62" s="47">
        <f t="shared" si="9"/>
        <v>107999</v>
      </c>
      <c r="M62" s="47">
        <f t="shared" si="9"/>
        <v>183.72992692131467</v>
      </c>
      <c r="N62" s="47">
        <v>13934800</v>
      </c>
      <c r="O62" s="47"/>
      <c r="P62" s="47"/>
      <c r="Q62" s="47"/>
    </row>
    <row r="63" spans="1:17" x14ac:dyDescent="0.45">
      <c r="A63" s="47" t="str">
        <f t="shared" si="6"/>
        <v>CHS φ168,3x5</v>
      </c>
      <c r="B63" s="47">
        <v>20.13</v>
      </c>
      <c r="C63" s="47">
        <v>168.3</v>
      </c>
      <c r="D63" s="47">
        <v>5</v>
      </c>
      <c r="E63" s="47">
        <v>256.39999999999998</v>
      </c>
      <c r="F63" s="47">
        <v>8554120</v>
      </c>
      <c r="G63" s="47">
        <v>101650</v>
      </c>
      <c r="H63" s="47">
        <v>133376</v>
      </c>
      <c r="I63" s="47">
        <f t="shared" si="8"/>
        <v>182.65377766720252</v>
      </c>
      <c r="J63" s="47">
        <f t="shared" si="9"/>
        <v>8554120</v>
      </c>
      <c r="K63" s="47">
        <f t="shared" si="9"/>
        <v>101650</v>
      </c>
      <c r="L63" s="47">
        <f t="shared" si="9"/>
        <v>133376</v>
      </c>
      <c r="M63" s="47">
        <f t="shared" si="9"/>
        <v>182.65377766720252</v>
      </c>
      <c r="N63" s="47">
        <v>17108200</v>
      </c>
      <c r="O63" s="47"/>
      <c r="P63" s="47"/>
      <c r="Q63" s="47"/>
    </row>
    <row r="64" spans="1:17" x14ac:dyDescent="0.45">
      <c r="A64" s="47" t="str">
        <f t="shared" si="6"/>
        <v>CHS φ193,7x3</v>
      </c>
      <c r="B64" s="47">
        <v>14.1</v>
      </c>
      <c r="C64" s="47">
        <v>193.7</v>
      </c>
      <c r="D64" s="47">
        <v>3</v>
      </c>
      <c r="E64" s="47">
        <v>180</v>
      </c>
      <c r="F64" s="47">
        <v>8170000</v>
      </c>
      <c r="G64" s="47">
        <v>84400</v>
      </c>
      <c r="H64" s="47">
        <v>109000</v>
      </c>
      <c r="I64" s="47">
        <f t="shared" si="8"/>
        <v>213.04668241699727</v>
      </c>
      <c r="J64" s="47">
        <f t="shared" si="9"/>
        <v>8170000</v>
      </c>
      <c r="K64" s="47">
        <f t="shared" si="9"/>
        <v>84400</v>
      </c>
      <c r="L64" s="47">
        <f t="shared" si="9"/>
        <v>109000</v>
      </c>
      <c r="M64" s="47">
        <f t="shared" si="9"/>
        <v>213.04668241699727</v>
      </c>
      <c r="N64" s="47">
        <v>16340000</v>
      </c>
      <c r="O64" s="47"/>
      <c r="P64" s="47"/>
      <c r="Q64" s="47"/>
    </row>
    <row r="65" spans="1:17" x14ac:dyDescent="0.45">
      <c r="A65" s="47" t="str">
        <f t="shared" si="6"/>
        <v>CHS φ193,7x3,2</v>
      </c>
      <c r="B65" s="47">
        <v>15</v>
      </c>
      <c r="C65" s="47">
        <v>193.7</v>
      </c>
      <c r="D65" s="47">
        <v>3.2</v>
      </c>
      <c r="E65" s="47">
        <v>192</v>
      </c>
      <c r="F65" s="47">
        <v>8690000</v>
      </c>
      <c r="G65" s="47">
        <v>89700</v>
      </c>
      <c r="H65" s="47">
        <v>116000</v>
      </c>
      <c r="I65" s="47">
        <f t="shared" si="8"/>
        <v>212.74495685366236</v>
      </c>
      <c r="J65" s="47">
        <f t="shared" si="9"/>
        <v>8690000</v>
      </c>
      <c r="K65" s="47">
        <f t="shared" si="9"/>
        <v>89700</v>
      </c>
      <c r="L65" s="47">
        <f t="shared" si="9"/>
        <v>116000</v>
      </c>
      <c r="M65" s="47">
        <f t="shared" si="9"/>
        <v>212.74495685366236</v>
      </c>
      <c r="N65" s="47">
        <v>17380000</v>
      </c>
      <c r="O65" s="47"/>
      <c r="P65" s="47"/>
      <c r="Q65" s="47"/>
    </row>
    <row r="66" spans="1:17" x14ac:dyDescent="0.45">
      <c r="A66" s="47" t="str">
        <f t="shared" si="6"/>
        <v>CHS φ193,7x4</v>
      </c>
      <c r="B66" s="47">
        <v>18.7</v>
      </c>
      <c r="C66" s="47">
        <v>193.7</v>
      </c>
      <c r="D66" s="47">
        <v>4</v>
      </c>
      <c r="E66" s="47">
        <v>238.29999999999998</v>
      </c>
      <c r="F66" s="47">
        <v>10722470</v>
      </c>
      <c r="G66" s="47">
        <v>110710</v>
      </c>
      <c r="H66" s="47">
        <v>143966</v>
      </c>
      <c r="I66" s="47">
        <f t="shared" si="8"/>
        <v>212.12184639297115</v>
      </c>
      <c r="J66" s="47">
        <f t="shared" ref="J66:M71" si="10">F66</f>
        <v>10722470</v>
      </c>
      <c r="K66" s="47">
        <f t="shared" si="10"/>
        <v>110710</v>
      </c>
      <c r="L66" s="47">
        <f t="shared" si="10"/>
        <v>143966</v>
      </c>
      <c r="M66" s="47">
        <f t="shared" si="10"/>
        <v>212.12184639297115</v>
      </c>
      <c r="N66" s="47">
        <v>21444899.999999996</v>
      </c>
      <c r="O66" s="47"/>
      <c r="P66" s="47"/>
      <c r="Q66" s="47"/>
    </row>
    <row r="67" spans="1:17" x14ac:dyDescent="0.45">
      <c r="A67" s="47" t="str">
        <f t="shared" ref="A67:A83" si="11">"CHS φ"&amp;C67&amp;"x"&amp;D67</f>
        <v>CHS φ193,7x5</v>
      </c>
      <c r="B67" s="47">
        <v>23.26</v>
      </c>
      <c r="C67" s="47">
        <v>193.7</v>
      </c>
      <c r="D67" s="47">
        <v>5</v>
      </c>
      <c r="E67" s="47">
        <v>296.3</v>
      </c>
      <c r="F67" s="47">
        <v>13195630.000000002</v>
      </c>
      <c r="G67" s="47">
        <v>136250</v>
      </c>
      <c r="H67" s="47">
        <v>178080</v>
      </c>
      <c r="I67" s="47">
        <f t="shared" si="8"/>
        <v>211.03244908382675</v>
      </c>
      <c r="J67" s="47">
        <f t="shared" si="10"/>
        <v>13195630.000000002</v>
      </c>
      <c r="K67" s="47">
        <f t="shared" si="10"/>
        <v>136250</v>
      </c>
      <c r="L67" s="47">
        <f t="shared" si="10"/>
        <v>178080</v>
      </c>
      <c r="M67" s="47">
        <f t="shared" si="10"/>
        <v>211.03244908382675</v>
      </c>
      <c r="N67" s="47">
        <v>26391300</v>
      </c>
      <c r="O67" s="47"/>
      <c r="P67" s="47"/>
      <c r="Q67" s="47"/>
    </row>
    <row r="68" spans="1:17" x14ac:dyDescent="0.45">
      <c r="A68" s="47" t="str">
        <f t="shared" si="11"/>
        <v>CHS φ219,1x3</v>
      </c>
      <c r="B68" s="47">
        <v>16</v>
      </c>
      <c r="C68" s="47">
        <v>219.1</v>
      </c>
      <c r="D68" s="47">
        <v>3</v>
      </c>
      <c r="E68" s="47">
        <v>204</v>
      </c>
      <c r="F68" s="47">
        <v>11890000</v>
      </c>
      <c r="G68" s="47">
        <v>109000</v>
      </c>
      <c r="H68" s="47">
        <v>140000</v>
      </c>
      <c r="I68" s="47">
        <f t="shared" si="8"/>
        <v>241.4214442121706</v>
      </c>
      <c r="J68" s="47">
        <f t="shared" si="10"/>
        <v>11890000</v>
      </c>
      <c r="K68" s="47">
        <f t="shared" si="10"/>
        <v>109000</v>
      </c>
      <c r="L68" s="47">
        <f t="shared" si="10"/>
        <v>140000</v>
      </c>
      <c r="M68" s="47">
        <f t="shared" si="10"/>
        <v>241.4214442121706</v>
      </c>
      <c r="N68" s="47">
        <v>23780000</v>
      </c>
      <c r="O68" s="47"/>
      <c r="P68" s="47"/>
      <c r="Q68" s="47"/>
    </row>
    <row r="69" spans="1:17" x14ac:dyDescent="0.45">
      <c r="A69" s="47" t="str">
        <f t="shared" si="11"/>
        <v>CHS φ219,1x3,2</v>
      </c>
      <c r="B69" s="47">
        <v>17</v>
      </c>
      <c r="C69" s="47">
        <v>219.1</v>
      </c>
      <c r="D69" s="47">
        <v>3.2</v>
      </c>
      <c r="E69" s="47">
        <v>217</v>
      </c>
      <c r="F69" s="47">
        <v>12650000</v>
      </c>
      <c r="G69" s="47">
        <v>115000</v>
      </c>
      <c r="H69" s="47">
        <v>149000</v>
      </c>
      <c r="I69" s="47">
        <f t="shared" si="8"/>
        <v>241.44343204066669</v>
      </c>
      <c r="J69" s="47">
        <f t="shared" si="10"/>
        <v>12650000</v>
      </c>
      <c r="K69" s="47">
        <f t="shared" si="10"/>
        <v>115000</v>
      </c>
      <c r="L69" s="47">
        <f t="shared" si="10"/>
        <v>149000</v>
      </c>
      <c r="M69" s="47">
        <f t="shared" si="10"/>
        <v>241.44343204066669</v>
      </c>
      <c r="N69" s="47">
        <v>25300000</v>
      </c>
      <c r="O69" s="47"/>
      <c r="P69" s="47"/>
      <c r="Q69" s="47"/>
    </row>
    <row r="70" spans="1:17" x14ac:dyDescent="0.45">
      <c r="A70" s="47" t="str">
        <f t="shared" si="11"/>
        <v>CHS φ219,1x4</v>
      </c>
      <c r="B70" s="47">
        <v>21.21</v>
      </c>
      <c r="C70" s="47">
        <v>219.1</v>
      </c>
      <c r="D70" s="47">
        <v>4</v>
      </c>
      <c r="E70" s="47">
        <v>270.2</v>
      </c>
      <c r="F70" s="47">
        <v>15630429.999999998</v>
      </c>
      <c r="G70" s="47">
        <v>142680</v>
      </c>
      <c r="H70" s="47">
        <v>185093</v>
      </c>
      <c r="I70" s="47">
        <f t="shared" si="8"/>
        <v>240.51534542344669</v>
      </c>
      <c r="J70" s="47">
        <f t="shared" si="10"/>
        <v>15630429.999999998</v>
      </c>
      <c r="K70" s="47">
        <f t="shared" si="10"/>
        <v>142680</v>
      </c>
      <c r="L70" s="47">
        <f t="shared" si="10"/>
        <v>185093</v>
      </c>
      <c r="M70" s="47">
        <f t="shared" si="10"/>
        <v>240.51534542344669</v>
      </c>
      <c r="N70" s="47">
        <v>31260900</v>
      </c>
      <c r="O70" s="47"/>
      <c r="P70" s="47"/>
      <c r="Q70" s="47"/>
    </row>
    <row r="71" spans="1:17" x14ac:dyDescent="0.45">
      <c r="A71" s="47" t="str">
        <f t="shared" si="11"/>
        <v>CHS φ219,1x5</v>
      </c>
      <c r="B71" s="47">
        <v>26.39</v>
      </c>
      <c r="C71" s="47">
        <v>219.1</v>
      </c>
      <c r="D71" s="47">
        <v>5</v>
      </c>
      <c r="E71" s="47">
        <v>336.1</v>
      </c>
      <c r="F71" s="47">
        <v>19270650</v>
      </c>
      <c r="G71" s="47">
        <v>175910</v>
      </c>
      <c r="H71" s="47">
        <v>229236</v>
      </c>
      <c r="I71" s="47">
        <f t="shared" si="8"/>
        <v>239.44949508449866</v>
      </c>
      <c r="J71" s="47">
        <f t="shared" si="10"/>
        <v>19270650</v>
      </c>
      <c r="K71" s="47">
        <f t="shared" si="10"/>
        <v>175910</v>
      </c>
      <c r="L71" s="47">
        <f t="shared" si="10"/>
        <v>229236</v>
      </c>
      <c r="M71" s="47">
        <f t="shared" si="10"/>
        <v>239.44949508449866</v>
      </c>
      <c r="N71" s="47">
        <v>38541300</v>
      </c>
      <c r="O71" s="47"/>
      <c r="P71" s="47"/>
      <c r="Q71" s="47"/>
    </row>
    <row r="72" spans="1:17" x14ac:dyDescent="0.45">
      <c r="A72" s="47" t="str">
        <f t="shared" si="11"/>
        <v>CHS φ244,5x4</v>
      </c>
      <c r="B72" s="47">
        <v>23.7</v>
      </c>
      <c r="C72" s="47">
        <v>244.5</v>
      </c>
      <c r="D72" s="47">
        <v>4</v>
      </c>
      <c r="E72" s="47">
        <v>302</v>
      </c>
      <c r="F72" s="47">
        <v>21860000</v>
      </c>
      <c r="G72" s="47">
        <v>179000</v>
      </c>
      <c r="H72" s="47">
        <v>231000</v>
      </c>
      <c r="I72" s="47">
        <f>SQRT(F72/E72)</f>
        <v>269.04294445360375</v>
      </c>
      <c r="J72" s="47">
        <f>F72</f>
        <v>21860000</v>
      </c>
      <c r="K72" s="47">
        <f>G72</f>
        <v>179000</v>
      </c>
      <c r="L72" s="47">
        <f>H72</f>
        <v>231000</v>
      </c>
      <c r="M72" s="47">
        <f>I72</f>
        <v>269.04294445360375</v>
      </c>
      <c r="N72" s="47">
        <v>43710000</v>
      </c>
      <c r="O72" s="47"/>
      <c r="P72" s="47"/>
      <c r="Q72" s="47"/>
    </row>
    <row r="73" spans="1:17" x14ac:dyDescent="0.45">
      <c r="A73" s="47" t="str">
        <f t="shared" si="11"/>
        <v>CHS φ273x4</v>
      </c>
      <c r="B73" s="47">
        <v>26.5</v>
      </c>
      <c r="C73" s="47">
        <v>273</v>
      </c>
      <c r="D73" s="47">
        <v>4</v>
      </c>
      <c r="E73" s="47">
        <v>338</v>
      </c>
      <c r="F73" s="47">
        <v>30580000</v>
      </c>
      <c r="G73" s="47">
        <v>224000</v>
      </c>
      <c r="H73" s="47">
        <v>289000</v>
      </c>
      <c r="I73" s="47">
        <f t="shared" ref="I73:I83" si="12">SQRT(F73/E73)</f>
        <v>300.78791993872539</v>
      </c>
      <c r="J73" s="47">
        <f t="shared" ref="J73:M83" si="13">F73</f>
        <v>30580000</v>
      </c>
      <c r="K73" s="47">
        <f t="shared" si="13"/>
        <v>224000</v>
      </c>
      <c r="L73" s="47">
        <f t="shared" si="13"/>
        <v>289000</v>
      </c>
      <c r="M73" s="47">
        <f t="shared" si="13"/>
        <v>300.78791993872539</v>
      </c>
      <c r="N73" s="47">
        <v>61160000</v>
      </c>
      <c r="O73" s="47"/>
      <c r="P73" s="47"/>
      <c r="Q73" s="47"/>
    </row>
    <row r="74" spans="1:17" x14ac:dyDescent="0.45">
      <c r="A74" s="47" t="str">
        <f t="shared" si="11"/>
        <v>CHS φ273x5</v>
      </c>
      <c r="B74" s="47">
        <v>33.03</v>
      </c>
      <c r="C74" s="47">
        <v>273</v>
      </c>
      <c r="D74" s="47">
        <v>5</v>
      </c>
      <c r="E74" s="47">
        <v>420.79999999999995</v>
      </c>
      <c r="F74" s="47">
        <v>37788980</v>
      </c>
      <c r="G74" s="47">
        <v>276840</v>
      </c>
      <c r="H74" s="47">
        <v>359162</v>
      </c>
      <c r="I74" s="47">
        <f t="shared" si="12"/>
        <v>299.67100147574388</v>
      </c>
      <c r="J74" s="47">
        <f t="shared" si="13"/>
        <v>37788980</v>
      </c>
      <c r="K74" s="47">
        <f t="shared" si="13"/>
        <v>276840</v>
      </c>
      <c r="L74" s="47">
        <f t="shared" si="13"/>
        <v>359162</v>
      </c>
      <c r="M74" s="47">
        <f t="shared" si="13"/>
        <v>299.67100147574388</v>
      </c>
      <c r="N74" s="47">
        <v>75578000</v>
      </c>
      <c r="O74" s="47"/>
      <c r="P74" s="47"/>
      <c r="Q74" s="47"/>
    </row>
    <row r="75" spans="1:17" x14ac:dyDescent="0.45">
      <c r="A75" s="47" t="str">
        <f t="shared" si="11"/>
        <v>CHS φ273x6</v>
      </c>
      <c r="B75" s="47">
        <v>39.49</v>
      </c>
      <c r="C75" s="47">
        <v>273</v>
      </c>
      <c r="D75" s="47">
        <v>6</v>
      </c>
      <c r="E75" s="47">
        <v>503</v>
      </c>
      <c r="F75" s="47">
        <v>44848090</v>
      </c>
      <c r="G75" s="47">
        <v>328560</v>
      </c>
      <c r="H75" s="47">
        <v>427806</v>
      </c>
      <c r="I75" s="47">
        <f t="shared" si="12"/>
        <v>298.59874869740838</v>
      </c>
      <c r="J75" s="47">
        <f t="shared" si="13"/>
        <v>44848090</v>
      </c>
      <c r="K75" s="47">
        <f t="shared" si="13"/>
        <v>328560</v>
      </c>
      <c r="L75" s="47">
        <f t="shared" si="13"/>
        <v>427806</v>
      </c>
      <c r="M75" s="47">
        <f t="shared" si="13"/>
        <v>298.59874869740838</v>
      </c>
      <c r="N75" s="47">
        <v>89696200.000000015</v>
      </c>
      <c r="O75" s="47"/>
      <c r="P75" s="47"/>
      <c r="Q75" s="47"/>
    </row>
    <row r="76" spans="1:17" x14ac:dyDescent="0.45">
      <c r="A76" s="47" t="str">
        <f t="shared" si="11"/>
        <v>CHS φ323,9x4</v>
      </c>
      <c r="B76" s="47">
        <v>31.6</v>
      </c>
      <c r="C76" s="47">
        <v>323.89999999999998</v>
      </c>
      <c r="D76" s="47">
        <v>4</v>
      </c>
      <c r="E76" s="47">
        <v>402</v>
      </c>
      <c r="F76" s="47">
        <v>51430000</v>
      </c>
      <c r="G76" s="47">
        <v>318000</v>
      </c>
      <c r="H76" s="47">
        <v>409000</v>
      </c>
      <c r="I76" s="47">
        <f t="shared" si="12"/>
        <v>357.68047665910501</v>
      </c>
      <c r="J76" s="47">
        <f t="shared" si="13"/>
        <v>51430000</v>
      </c>
      <c r="K76" s="47">
        <f t="shared" si="13"/>
        <v>318000</v>
      </c>
      <c r="L76" s="47">
        <f t="shared" si="13"/>
        <v>409000</v>
      </c>
      <c r="M76" s="47">
        <f t="shared" si="13"/>
        <v>357.68047665910501</v>
      </c>
      <c r="N76" s="47">
        <v>102860000</v>
      </c>
      <c r="O76" s="47"/>
      <c r="P76" s="47"/>
      <c r="Q76" s="47"/>
    </row>
    <row r="77" spans="1:17" x14ac:dyDescent="0.45">
      <c r="A77" s="47" t="str">
        <f t="shared" si="11"/>
        <v>CHS φ323,9x6</v>
      </c>
      <c r="B77" s="47">
        <v>47.02</v>
      </c>
      <c r="C77" s="47">
        <v>323.89999999999998</v>
      </c>
      <c r="D77" s="47">
        <v>6</v>
      </c>
      <c r="E77" s="47">
        <v>598.9</v>
      </c>
      <c r="F77" s="47">
        <v>75686280</v>
      </c>
      <c r="G77" s="47">
        <v>467340</v>
      </c>
      <c r="H77" s="47">
        <v>606434</v>
      </c>
      <c r="I77" s="47">
        <f t="shared" si="12"/>
        <v>355.4933028840228</v>
      </c>
      <c r="J77" s="47">
        <f t="shared" si="13"/>
        <v>75686280</v>
      </c>
      <c r="K77" s="47">
        <f t="shared" si="13"/>
        <v>467340</v>
      </c>
      <c r="L77" s="47">
        <f t="shared" si="13"/>
        <v>606434</v>
      </c>
      <c r="M77" s="47">
        <f t="shared" si="13"/>
        <v>355.4933028840228</v>
      </c>
      <c r="N77" s="47">
        <v>151372600</v>
      </c>
      <c r="O77" s="47"/>
      <c r="P77" s="47"/>
      <c r="Q77" s="47"/>
    </row>
    <row r="78" spans="1:17" x14ac:dyDescent="0.45">
      <c r="A78" s="47" t="str">
        <f t="shared" si="11"/>
        <v>CHS φ355,6x5</v>
      </c>
      <c r="B78" s="47">
        <v>43.21</v>
      </c>
      <c r="C78" s="47">
        <v>355.6</v>
      </c>
      <c r="D78" s="47">
        <v>5</v>
      </c>
      <c r="E78" s="47">
        <v>550.4</v>
      </c>
      <c r="F78" s="47">
        <v>84592860</v>
      </c>
      <c r="G78" s="47">
        <v>475780</v>
      </c>
      <c r="H78" s="47">
        <v>614434</v>
      </c>
      <c r="I78" s="47">
        <f t="shared" si="12"/>
        <v>392.03752749592263</v>
      </c>
      <c r="J78" s="47">
        <f t="shared" si="13"/>
        <v>84592860</v>
      </c>
      <c r="K78" s="47">
        <f t="shared" si="13"/>
        <v>475780</v>
      </c>
      <c r="L78" s="47">
        <f t="shared" si="13"/>
        <v>614434</v>
      </c>
      <c r="M78" s="47">
        <f t="shared" si="13"/>
        <v>392.03752749592263</v>
      </c>
      <c r="N78" s="47">
        <v>169185700</v>
      </c>
      <c r="O78" s="47"/>
      <c r="P78" s="47"/>
      <c r="Q78" s="47"/>
    </row>
    <row r="79" spans="1:17" x14ac:dyDescent="0.45">
      <c r="A79" s="47" t="str">
        <f t="shared" si="11"/>
        <v>CHS φ355,6x6</v>
      </c>
      <c r="B79" s="47">
        <v>51.7</v>
      </c>
      <c r="C79" s="47">
        <v>355.6</v>
      </c>
      <c r="D79" s="47">
        <v>6</v>
      </c>
      <c r="E79" s="47">
        <v>658.6</v>
      </c>
      <c r="F79" s="47">
        <v>100654470</v>
      </c>
      <c r="G79" s="47">
        <v>566110</v>
      </c>
      <c r="H79" s="47">
        <v>733393</v>
      </c>
      <c r="I79" s="47">
        <f t="shared" si="12"/>
        <v>390.93600449600018</v>
      </c>
      <c r="J79" s="47">
        <f t="shared" si="13"/>
        <v>100654470</v>
      </c>
      <c r="K79" s="47">
        <f t="shared" si="13"/>
        <v>566110</v>
      </c>
      <c r="L79" s="47">
        <f t="shared" si="13"/>
        <v>733393</v>
      </c>
      <c r="M79" s="47">
        <f t="shared" si="13"/>
        <v>390.93600449600018</v>
      </c>
      <c r="N79" s="47">
        <v>201308900</v>
      </c>
      <c r="O79" s="47"/>
      <c r="P79" s="47"/>
      <c r="Q79" s="47"/>
    </row>
    <row r="80" spans="1:17" x14ac:dyDescent="0.45">
      <c r="A80" s="47" t="str">
        <f t="shared" si="11"/>
        <v>CHS φ406,4x5</v>
      </c>
      <c r="B80" s="47">
        <v>49.5</v>
      </c>
      <c r="C80" s="47">
        <v>406.4</v>
      </c>
      <c r="D80" s="47">
        <v>5</v>
      </c>
      <c r="E80" s="47">
        <v>631</v>
      </c>
      <c r="F80" s="47">
        <v>127010000</v>
      </c>
      <c r="G80" s="47">
        <v>625000</v>
      </c>
      <c r="H80" s="47">
        <v>806000</v>
      </c>
      <c r="I80" s="47">
        <f t="shared" si="12"/>
        <v>448.64649413947836</v>
      </c>
      <c r="J80" s="47">
        <f t="shared" si="13"/>
        <v>127010000</v>
      </c>
      <c r="K80" s="47">
        <f t="shared" si="13"/>
        <v>625000</v>
      </c>
      <c r="L80" s="47">
        <f t="shared" si="13"/>
        <v>806000</v>
      </c>
      <c r="M80" s="47">
        <f t="shared" si="13"/>
        <v>448.64649413947836</v>
      </c>
      <c r="N80" s="47">
        <v>254010000</v>
      </c>
      <c r="O80" s="47"/>
      <c r="P80" s="47"/>
      <c r="Q80" s="47"/>
    </row>
    <row r="81" spans="1:17" x14ac:dyDescent="0.45">
      <c r="A81" s="47" t="str">
        <f t="shared" si="11"/>
        <v>CHS φ406,4x6</v>
      </c>
      <c r="B81" s="47">
        <v>59.22</v>
      </c>
      <c r="C81" s="47">
        <v>406.4</v>
      </c>
      <c r="D81" s="47">
        <v>6</v>
      </c>
      <c r="E81" s="47">
        <v>754.4</v>
      </c>
      <c r="F81" s="47">
        <v>151206560</v>
      </c>
      <c r="G81" s="47">
        <v>744130</v>
      </c>
      <c r="H81" s="47">
        <v>961933</v>
      </c>
      <c r="I81" s="47">
        <f t="shared" si="12"/>
        <v>447.6973015408949</v>
      </c>
      <c r="J81" s="47">
        <f t="shared" si="13"/>
        <v>151206560</v>
      </c>
      <c r="K81" s="47">
        <f t="shared" si="13"/>
        <v>744130</v>
      </c>
      <c r="L81" s="47">
        <f t="shared" si="13"/>
        <v>961933</v>
      </c>
      <c r="M81" s="47">
        <f t="shared" si="13"/>
        <v>447.6973015408949</v>
      </c>
      <c r="N81" s="47">
        <v>302413100</v>
      </c>
      <c r="O81" s="47"/>
      <c r="P81" s="47"/>
      <c r="Q81" s="47"/>
    </row>
    <row r="82" spans="1:17" x14ac:dyDescent="0.45">
      <c r="A82" s="47" t="str">
        <f t="shared" si="11"/>
        <v>CHS φ457,2x6,3</v>
      </c>
      <c r="B82" s="47">
        <v>70.02</v>
      </c>
      <c r="C82" s="47">
        <v>457.2</v>
      </c>
      <c r="D82" s="47">
        <v>6.3</v>
      </c>
      <c r="E82" s="47">
        <v>892</v>
      </c>
      <c r="F82" s="47">
        <v>226728280</v>
      </c>
      <c r="G82" s="47">
        <v>991810</v>
      </c>
      <c r="H82" s="47">
        <v>1280941</v>
      </c>
      <c r="I82" s="47">
        <f t="shared" si="12"/>
        <v>504.16236085080243</v>
      </c>
      <c r="J82" s="47">
        <f t="shared" si="13"/>
        <v>226728280</v>
      </c>
      <c r="K82" s="47">
        <f t="shared" si="13"/>
        <v>991810</v>
      </c>
      <c r="L82" s="47">
        <f t="shared" si="13"/>
        <v>1280941</v>
      </c>
      <c r="M82" s="47">
        <f t="shared" si="13"/>
        <v>504.16236085080243</v>
      </c>
      <c r="N82" s="47">
        <v>453456600.00000006</v>
      </c>
      <c r="O82" s="47"/>
      <c r="P82" s="47"/>
      <c r="Q82" s="47"/>
    </row>
    <row r="83" spans="1:17" x14ac:dyDescent="0.45">
      <c r="A83" s="47" t="str">
        <f t="shared" si="11"/>
        <v>CHS φ508x6,3</v>
      </c>
      <c r="B83" s="47">
        <v>77.91</v>
      </c>
      <c r="C83" s="47">
        <v>508</v>
      </c>
      <c r="D83" s="47">
        <v>6.3</v>
      </c>
      <c r="E83" s="47">
        <v>992.5</v>
      </c>
      <c r="F83" s="47">
        <v>312306480</v>
      </c>
      <c r="G83" s="47">
        <v>1229550</v>
      </c>
      <c r="H83" s="47">
        <v>1585812</v>
      </c>
      <c r="I83" s="47">
        <f t="shared" si="12"/>
        <v>560.95140483772809</v>
      </c>
      <c r="J83" s="47">
        <f t="shared" si="13"/>
        <v>312306480</v>
      </c>
      <c r="K83" s="47">
        <f t="shared" si="13"/>
        <v>1229550</v>
      </c>
      <c r="L83" s="47">
        <f t="shared" si="13"/>
        <v>1585812</v>
      </c>
      <c r="M83" s="47">
        <f t="shared" si="13"/>
        <v>560.95140483772809</v>
      </c>
      <c r="N83" s="47">
        <v>624613000</v>
      </c>
      <c r="O83" s="47"/>
      <c r="P83" s="47"/>
      <c r="Q83" s="47"/>
    </row>
    <row r="84" spans="1:17" x14ac:dyDescent="0.45">
      <c r="O84" s="47"/>
      <c r="P84" s="47"/>
      <c r="Q84" s="47"/>
    </row>
    <row r="85" spans="1:17" x14ac:dyDescent="0.45">
      <c r="O85" s="47"/>
      <c r="P85" s="47"/>
      <c r="Q85" s="4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IPE</vt:lpstr>
      <vt:lpstr>HE</vt:lpstr>
      <vt:lpstr>IPN</vt:lpstr>
      <vt:lpstr>HL</vt:lpstr>
      <vt:lpstr>HP</vt:lpstr>
      <vt:lpstr>UPE</vt:lpstr>
      <vt:lpstr>UPN</vt:lpstr>
      <vt:lpstr>HD</vt:lpstr>
      <vt:lpstr>U</vt:lpstr>
      <vt:lpstr>Cornières ailes égales</vt:lpstr>
      <vt:lpstr>Cornières ailes inégales</vt:lpstr>
      <vt:lpstr>Fers plats + Larges plats</vt:lpstr>
      <vt:lpstr>Carrés</vt:lpstr>
      <vt:lpstr>Ronds laminés à chaud</vt:lpstr>
      <vt:lpstr>T en acier à ailes égales</vt:lpstr>
      <vt:lpstr>ACB</vt:lpstr>
      <vt:lpstr>Tube creux carré_rectangle</vt:lpstr>
      <vt:lpstr>Tube creux rond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2026-04-10T07:54:52Z</dcterms:modified>
  <cp:category/>
  <cp:contentStatus/>
</cp:coreProperties>
</file>